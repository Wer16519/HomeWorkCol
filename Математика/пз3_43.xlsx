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r16\Desktop\Новая папка (2)\"/>
    </mc:Choice>
  </mc:AlternateContent>
  <xr:revisionPtr revIDLastSave="0" documentId="8_{897ACF3B-643D-4C93-819B-A6FA7AD4FA28}" xr6:coauthVersionLast="47" xr6:coauthVersionMax="47" xr10:uidLastSave="{00000000-0000-0000-0000-000000000000}"/>
  <bookViews>
    <workbookView xWindow="6990" yWindow="1035" windowWidth="21600" windowHeight="11385" tabRatio="500" activeTab="1" xr2:uid="{00000000-000D-0000-FFFF-FFFF00000000}"/>
  </bookViews>
  <sheets>
    <sheet name="ньютон" sheetId="1" r:id="rId1"/>
    <sheet name="хорд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12" i="2" l="1"/>
  <c r="B13" i="2" s="1"/>
  <c r="C11" i="2"/>
  <c r="D4" i="2"/>
  <c r="C3" i="2"/>
  <c r="B4" i="2" s="1"/>
  <c r="C2" i="2"/>
  <c r="B10" i="1"/>
  <c r="B4" i="1"/>
  <c r="B3" i="1"/>
  <c r="C3" i="1" s="1"/>
  <c r="D5" i="2" l="1"/>
  <c r="C4" i="2"/>
  <c r="B5" i="2" s="1"/>
  <c r="D13" i="2"/>
  <c r="C13" i="2"/>
  <c r="B14" i="2" s="1"/>
  <c r="B5" i="1"/>
  <c r="C10" i="1"/>
  <c r="B11" i="1"/>
  <c r="C4" i="1"/>
  <c r="C14" i="2" l="1"/>
  <c r="B15" i="2" s="1"/>
  <c r="D14" i="2"/>
  <c r="C5" i="2"/>
  <c r="B6" i="2" s="1"/>
  <c r="D6" i="2"/>
  <c r="B12" i="1"/>
  <c r="C12" i="1" s="1"/>
  <c r="C11" i="1"/>
  <c r="B6" i="1"/>
  <c r="C6" i="1" s="1"/>
  <c r="C5" i="1"/>
  <c r="C6" i="2" l="1"/>
  <c r="B7" i="2" s="1"/>
  <c r="D7" i="2"/>
  <c r="C15" i="2"/>
  <c r="B16" i="2" s="1"/>
  <c r="D15" i="2"/>
  <c r="B7" i="1"/>
  <c r="C7" i="1" s="1"/>
  <c r="B13" i="1"/>
  <c r="C13" i="1" s="1"/>
  <c r="C16" i="2" l="1"/>
  <c r="B17" i="2" s="1"/>
  <c r="D16" i="2"/>
  <c r="C7" i="2"/>
  <c r="B8" i="2" s="1"/>
  <c r="D8" i="2"/>
  <c r="C8" i="2" l="1"/>
  <c r="B9" i="2"/>
  <c r="C9" i="2" s="1"/>
  <c r="D9" i="2"/>
  <c r="C17" i="2"/>
  <c r="D17" i="2"/>
</calcChain>
</file>

<file path=xl/sharedStrings.xml><?xml version="1.0" encoding="utf-8"?>
<sst xmlns="http://schemas.openxmlformats.org/spreadsheetml/2006/main" count="38" uniqueCount="12">
  <si>
    <t>2lnx-1/2=0</t>
  </si>
  <si>
    <t>x</t>
  </si>
  <si>
    <t>F(x)</t>
  </si>
  <si>
    <t>х0</t>
  </si>
  <si>
    <t>х1</t>
  </si>
  <si>
    <t>х2</t>
  </si>
  <si>
    <t>х3</t>
  </si>
  <si>
    <t>х4</t>
  </si>
  <si>
    <t>х5</t>
  </si>
  <si>
    <t>корень x=cos0,6x</t>
  </si>
  <si>
    <t>х6</t>
  </si>
  <si>
    <t>х7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</si>
</sst>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Open Sans"/>
      <family val="2"/>
    </font>
    <font>
      <sz val="10"/>
      <color rgb="FFC9211E"/>
      <name val="Open Sans"/>
      <family val="2"/>
    </font>
    <font>
      <sz val="10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7F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F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C15" sqref="C15"/>
    </sheetView>
  </sheetViews>
  <sheetFormatPr defaultColWidth="11.28515625" defaultRowHeight="15" x14ac:dyDescent="0.3"/>
  <cols>
    <col min="1" max="1" width="18.28515625" customWidth="1"/>
    <col min="6" max="6" width="18" customWidth="1"/>
  </cols>
  <sheetData>
    <row r="1" spans="1:5" ht="15.4" customHeight="1" x14ac:dyDescent="0.3">
      <c r="A1" s="1" t="s">
        <v>0</v>
      </c>
      <c r="B1" s="1" t="s">
        <v>1</v>
      </c>
      <c r="C1" s="1" t="s">
        <v>2</v>
      </c>
      <c r="D1" s="2"/>
      <c r="E1" s="2"/>
    </row>
    <row r="2" spans="1:5" x14ac:dyDescent="0.3">
      <c r="A2" t="s">
        <v>3</v>
      </c>
      <c r="B2">
        <v>1.88</v>
      </c>
    </row>
    <row r="3" spans="1:5" x14ac:dyDescent="0.3">
      <c r="A3" t="s">
        <v>4</v>
      </c>
      <c r="B3">
        <f>B2-(2*LN(B2)-1/B2)/((B2*2+1)/B2^2)</f>
        <v>1.3374928705588813</v>
      </c>
      <c r="C3" t="str">
        <f>IF(ABS(B2-B3)&lt;10^(-7),"стоп","продолжай")</f>
        <v>продолжай</v>
      </c>
    </row>
    <row r="4" spans="1:5" x14ac:dyDescent="0.3">
      <c r="A4" t="s">
        <v>5</v>
      </c>
      <c r="B4">
        <f>B3-(2*LN(B3)-1/B3)/((B3*2+1)/B3^2)</f>
        <v>1.4183332626193366</v>
      </c>
      <c r="C4" t="str">
        <f>IF(ABS(B3-B4)&lt;10^(-7),"стоп","продолжай")</f>
        <v>продолжай</v>
      </c>
    </row>
    <row r="5" spans="1:5" x14ac:dyDescent="0.3">
      <c r="A5" t="s">
        <v>6</v>
      </c>
      <c r="B5">
        <f>B4-(2*LN(B4)-1/B4)/((B4*2+1)/B4^2)</f>
        <v>1.4215254027999813</v>
      </c>
      <c r="C5" t="str">
        <f>IF(ABS(B4-B5)&lt;10^(-7),"стоп","продолжай")</f>
        <v>продолжай</v>
      </c>
    </row>
    <row r="6" spans="1:5" x14ac:dyDescent="0.3">
      <c r="A6" t="s">
        <v>7</v>
      </c>
      <c r="B6">
        <f>B5-(2*LN(B5)-1/B5)/((B5*2+1)/B5^2)</f>
        <v>1.4215299358740081</v>
      </c>
      <c r="C6" t="str">
        <f>IF(ABS(B5-B6)&lt;10^(-7),"стоп","продолжай")</f>
        <v>продолжай</v>
      </c>
    </row>
    <row r="7" spans="1:5" x14ac:dyDescent="0.3">
      <c r="A7" t="s">
        <v>8</v>
      </c>
      <c r="B7">
        <f>B6-(2*LN(B6)-1/B6)/((B6*2+1)/B6^2)</f>
        <v>1.4215299358831166</v>
      </c>
      <c r="C7" t="str">
        <f>IF(ABS(B6-B7)&lt;10^(-7),"стоп","продолжай")</f>
        <v>стоп</v>
      </c>
    </row>
    <row r="8" spans="1:5" x14ac:dyDescent="0.3">
      <c r="A8" s="3" t="s">
        <v>9</v>
      </c>
      <c r="B8" s="3" t="s">
        <v>1</v>
      </c>
      <c r="C8" s="3" t="s">
        <v>2</v>
      </c>
    </row>
    <row r="9" spans="1:5" x14ac:dyDescent="0.3">
      <c r="A9" t="s">
        <v>3</v>
      </c>
      <c r="B9">
        <v>1.25</v>
      </c>
    </row>
    <row r="10" spans="1:5" x14ac:dyDescent="0.3">
      <c r="A10" t="s">
        <v>4</v>
      </c>
      <c r="B10">
        <f>B9-(SQRT(B9)-COS(0.6*B9))/(1/(2*SQRT(B9))+0.6*SIN(0.6*B9))</f>
        <v>0.79876601193647878</v>
      </c>
      <c r="C10" t="str">
        <f>IF(ABS(B9-B10)&lt;10^(-7),"стоп","продолжай")</f>
        <v>продолжай</v>
      </c>
    </row>
    <row r="11" spans="1:5" x14ac:dyDescent="0.3">
      <c r="A11" t="s">
        <v>5</v>
      </c>
      <c r="B11">
        <f>B10-(SQRT(B10)-COS(0.6*B10))/(1/(2*SQRT(B10))+0.6*SIN(0.6*B10))</f>
        <v>0.79111099668523122</v>
      </c>
      <c r="C11" t="str">
        <f>IF(ABS(B10-B11)&lt;10^(-7),"стоп","продолжай")</f>
        <v>продолжай</v>
      </c>
    </row>
    <row r="12" spans="1:5" x14ac:dyDescent="0.3">
      <c r="A12" t="s">
        <v>6</v>
      </c>
      <c r="B12">
        <f>B11-(SQRT(B11)-COS(0.6*B11))/(1/(2*SQRT(B11))+0.6*SIN(0.6*B11))</f>
        <v>0.79111212432115041</v>
      </c>
      <c r="C12" t="str">
        <f>IF(ABS(B11-B12)&lt;10^(-7),"стоп","продолжай")</f>
        <v>продолжай</v>
      </c>
    </row>
    <row r="13" spans="1:5" x14ac:dyDescent="0.3">
      <c r="A13" t="s">
        <v>7</v>
      </c>
      <c r="B13">
        <f>B12-(SQRT(B12)-COS(0.6*B12))/(1/(2*SQRT(B12))+0.6*SIN(0.6*B12))</f>
        <v>0.79111212432117706</v>
      </c>
      <c r="C13" t="str">
        <f>IF(ABS(B12-B13)&lt;10^(-7),"стоп","продолжай")</f>
        <v>стоп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zoomScaleNormal="100" workbookViewId="0">
      <selection activeCell="C11" activeCellId="1" sqref="A14:C15 C11"/>
    </sheetView>
  </sheetViews>
  <sheetFormatPr defaultColWidth="11.28515625" defaultRowHeight="15" x14ac:dyDescent="0.3"/>
  <sheetData>
    <row r="1" spans="1:4" x14ac:dyDescent="0.3">
      <c r="A1" s="4" t="s">
        <v>0</v>
      </c>
      <c r="B1" s="4" t="s">
        <v>1</v>
      </c>
      <c r="C1" s="4" t="s">
        <v>2</v>
      </c>
      <c r="D1" s="3"/>
    </row>
    <row r="2" spans="1:4" x14ac:dyDescent="0.3">
      <c r="A2" t="s">
        <v>3</v>
      </c>
      <c r="B2">
        <v>1.25</v>
      </c>
      <c r="C2">
        <f t="shared" ref="C2:C9" si="0">2*LN(B2)-1/B2</f>
        <v>-0.35371289737158051</v>
      </c>
    </row>
    <row r="3" spans="1:4" x14ac:dyDescent="0.3">
      <c r="A3" t="s">
        <v>4</v>
      </c>
      <c r="B3">
        <v>1.5</v>
      </c>
      <c r="C3">
        <f t="shared" si="0"/>
        <v>0.14426354954966214</v>
      </c>
    </row>
    <row r="4" spans="1:4" x14ac:dyDescent="0.3">
      <c r="A4" t="s">
        <v>5</v>
      </c>
      <c r="B4">
        <f t="shared" ref="B4:B9" si="1">B3-C3*(B3-B2)/(C3-C2)</f>
        <v>1.4275751140231747</v>
      </c>
      <c r="C4">
        <f t="shared" si="0"/>
        <v>1.1466026046026423E-2</v>
      </c>
      <c r="D4" t="str">
        <f t="shared" ref="D4:D9" si="2">IF(ABS(B2-B3)&lt;10^(-7),"стоп","продолжай")</f>
        <v>продолжай</v>
      </c>
    </row>
    <row r="5" spans="1:4" x14ac:dyDescent="0.3">
      <c r="A5" t="s">
        <v>6</v>
      </c>
      <c r="B5">
        <f t="shared" si="1"/>
        <v>1.4213217923716754</v>
      </c>
      <c r="C5">
        <f t="shared" si="0"/>
        <v>-3.9588411793267664E-4</v>
      </c>
      <c r="D5" t="str">
        <f t="shared" si="2"/>
        <v>продолжай</v>
      </c>
    </row>
    <row r="6" spans="1:4" x14ac:dyDescent="0.3">
      <c r="A6" t="s">
        <v>7</v>
      </c>
      <c r="B6">
        <f t="shared" si="1"/>
        <v>1.4215304932210273</v>
      </c>
      <c r="C6">
        <f t="shared" si="0"/>
        <v>1.0599456786719585E-6</v>
      </c>
      <c r="D6" t="str">
        <f t="shared" si="2"/>
        <v>продолжай</v>
      </c>
    </row>
    <row r="7" spans="1:4" x14ac:dyDescent="0.3">
      <c r="A7" t="s">
        <v>8</v>
      </c>
      <c r="B7">
        <f t="shared" si="1"/>
        <v>1.4215299359345386</v>
      </c>
      <c r="C7">
        <f t="shared" si="0"/>
        <v>9.7794328191014301E-11</v>
      </c>
      <c r="D7" t="str">
        <f t="shared" si="2"/>
        <v>продолжай</v>
      </c>
    </row>
    <row r="8" spans="1:4" x14ac:dyDescent="0.3">
      <c r="A8" t="s">
        <v>10</v>
      </c>
      <c r="B8">
        <f t="shared" si="1"/>
        <v>1.4215299358831166</v>
      </c>
      <c r="C8">
        <f t="shared" si="0"/>
        <v>0</v>
      </c>
      <c r="D8" t="str">
        <f t="shared" si="2"/>
        <v>продолжай</v>
      </c>
    </row>
    <row r="9" spans="1:4" x14ac:dyDescent="0.3">
      <c r="A9" t="s">
        <v>11</v>
      </c>
      <c r="B9">
        <f t="shared" si="1"/>
        <v>1.4215299358831166</v>
      </c>
      <c r="C9">
        <f t="shared" si="0"/>
        <v>0</v>
      </c>
      <c r="D9" t="str">
        <f t="shared" si="2"/>
        <v>стоп</v>
      </c>
    </row>
    <row r="10" spans="1:4" x14ac:dyDescent="0.3">
      <c r="A10" s="3" t="s">
        <v>9</v>
      </c>
      <c r="B10" s="3" t="s">
        <v>1</v>
      </c>
      <c r="C10" s="3" t="s">
        <v>2</v>
      </c>
      <c r="D10" s="3"/>
    </row>
    <row r="11" spans="1:4" x14ac:dyDescent="0.3">
      <c r="A11" t="s">
        <v>3</v>
      </c>
      <c r="B11">
        <v>0</v>
      </c>
      <c r="C11">
        <f t="shared" ref="C11:C17" si="3">SQRT(B11)-COS(0.6*B11)</f>
        <v>-1</v>
      </c>
    </row>
    <row r="12" spans="1:4" x14ac:dyDescent="0.3">
      <c r="A12" t="s">
        <v>4</v>
      </c>
      <c r="B12">
        <v>1.25</v>
      </c>
      <c r="C12">
        <f t="shared" si="3"/>
        <v>0.38634511987607401</v>
      </c>
    </row>
    <row r="13" spans="1:4" x14ac:dyDescent="0.3">
      <c r="A13" t="s">
        <v>5</v>
      </c>
      <c r="B13">
        <f>B12-C12*(B12-B11)/(C12-C11)</f>
        <v>0.90165138685794055</v>
      </c>
      <c r="C13">
        <f t="shared" si="3"/>
        <v>9.2354418493869828E-2</v>
      </c>
      <c r="D13" t="str">
        <f>IF(ABS(B12-B13)&lt;10^(-7),"стоп","продолжай")</f>
        <v>продолжай</v>
      </c>
    </row>
    <row r="14" spans="1:4" x14ac:dyDescent="0.3">
      <c r="A14" t="s">
        <v>6</v>
      </c>
      <c r="B14">
        <f>B13-C13*(B13-B12)/(C13-C12)</f>
        <v>0.79222094076346994</v>
      </c>
      <c r="C14">
        <f t="shared" si="3"/>
        <v>9.2736372021295921E-4</v>
      </c>
      <c r="D14" t="str">
        <f>IF(ABS(B13-B14)&lt;10^(-7),"стоп","продолжай")</f>
        <v>продолжай</v>
      </c>
    </row>
    <row r="15" spans="1:4" x14ac:dyDescent="0.3">
      <c r="A15" t="s">
        <v>7</v>
      </c>
      <c r="B15">
        <f>B14-C14*(B14-B13)/(C14-C13)</f>
        <v>0.79111096488328914</v>
      </c>
      <c r="C15">
        <f t="shared" si="3"/>
        <v>-9.6972364160841096E-7</v>
      </c>
      <c r="D15" t="str">
        <f>IF(ABS(B14-B15)&lt;10^(-7),"стоп","продолжай")</f>
        <v>продолжай</v>
      </c>
    </row>
    <row r="16" spans="1:4" x14ac:dyDescent="0.3">
      <c r="A16" t="s">
        <v>8</v>
      </c>
      <c r="B16">
        <f>B15-C15*(B15-B14)/(C15-C14)</f>
        <v>0.79111212434798339</v>
      </c>
      <c r="C16">
        <f t="shared" si="3"/>
        <v>2.2420065803885336E-11</v>
      </c>
      <c r="D16" t="str">
        <f>IF(ABS(B15-B16)&lt;10^(-7),"стоп","продолжай")</f>
        <v>продолжай</v>
      </c>
    </row>
    <row r="17" spans="1:4" x14ac:dyDescent="0.3">
      <c r="A17" t="s">
        <v>10</v>
      </c>
      <c r="B17">
        <f>B16-C16*(B16-B15)/(C16-C15)</f>
        <v>0.79111212432117717</v>
      </c>
      <c r="C17">
        <f t="shared" si="3"/>
        <v>0</v>
      </c>
      <c r="D17" t="str">
        <f>IF(ABS(B16-B17)&lt;10^(-7),"стоп","продолжай")</f>
        <v>стоп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ньютон</vt:lpstr>
      <vt:lpstr>хорды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Kirill Levin</cp:lastModifiedBy>
  <cp:revision>2</cp:revision>
  <dcterms:created xsi:type="dcterms:W3CDTF">2026-02-03T08:52:45Z</dcterms:created>
  <dcterms:modified xsi:type="dcterms:W3CDTF">2026-02-16T19:49:02Z</dcterms:modified>
  <dc:language>ru-RU</dc:language>
</cp:coreProperties>
</file>