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ьютон" sheetId="1" state="visible" r:id="rId3"/>
    <sheet name="Хорд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<sst xmlns="http://schemas.openxmlformats.org/spreadsheetml/2006/main" count="129" uniqueCount="34">
  <si>
    <t xml:space="preserve">Задание 1(б)</t>
  </si>
  <si>
    <t xml:space="preserve">Задание 2.1(в)</t>
  </si>
  <si>
    <t xml:space="preserve">x</t>
  </si>
  <si>
    <t xml:space="preserve">F(x)</t>
  </si>
  <si>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</si>
  <si>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</si>
  <si>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</si>
  <si>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</si>
  <si>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</si>
  <si>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</si>
  <si>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</si>
  <si>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</si>
  <si>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</si>
  <si>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Задание 1(в)</t>
  </si>
  <si>
    <t xml:space="preserve">Задание 2.2(в)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</si>
  <si>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</si>
  <si>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</si>
  <si>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</si>
  <si>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</si>
  <si>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</si>
  <si>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</si>
  <si>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</si>
  <si>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</si>
  <si>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Задание 1(ж)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</si>
  <si>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</si>
  <si>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</si>
  <si>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</si>
  <si>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</si>
  <si>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</si>
  <si>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</si>
  <si>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</si>
  <si>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</si>
  <si>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</si>
  <si>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Задание 2.1(ж)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</si>
</sst>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Open Sans"/>
      <family val="2"/>
    </font>
    <font>
      <sz val="10"/>
      <color rgb="FF00000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48FB1"/>
        <bgColor rgb="FFFF8080"/>
      </patternFill>
    </fill>
    <fill>
      <patternFill patternType="solid">
        <fgColor rgb="FF48BF93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8FB1"/>
      <rgbColor rgb="FFCC99FF"/>
      <rgbColor rgb="FFFFCC99"/>
      <rgbColor rgb="FF3366FF"/>
      <rgbColor rgb="FF48BF93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8" activeCellId="0" sqref="J8"/>
    </sheetView>
  </sheetViews>
  <sheetFormatPr defaultColWidth="11.23046875" defaultRowHeight="14.35" zeroHeight="false" outlineLevelRow="0" outlineLevelCol="0"/>
  <cols>
    <col collapsed="false" customWidth="false" hidden="false" outlineLevel="0" max="1" min="1" style="1" width="11.23"/>
    <col collapsed="false" customWidth="true" hidden="false" outlineLevel="0" max="2" min="2" style="1" width="17.06"/>
    <col collapsed="false" customWidth="true" hidden="false" outlineLevel="0" max="3" min="3" style="1" width="18.29"/>
    <col collapsed="false" customWidth="false" hidden="false" outlineLevel="0" max="5" min="4" style="1" width="11.23"/>
    <col collapsed="false" customWidth="true" hidden="false" outlineLevel="0" max="6" min="6" style="1" width="15.33"/>
    <col collapsed="false" customWidth="false" hidden="false" outlineLevel="0" max="16384" min="7" style="1" width="11.23"/>
  </cols>
  <sheetData>
    <row r="1" customFormat="false" ht="14.35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  <c r="H1" s="3"/>
    </row>
    <row r="2" customFormat="false" ht="14.35" hidden="false" customHeight="false" outlineLevel="0" collapsed="false">
      <c r="A2" s="1" t="s">
        <v>2</v>
      </c>
      <c r="B2" s="1" t="s">
        <v>3</v>
      </c>
      <c r="E2" s="1" t="s">
        <v>4</v>
      </c>
      <c r="F2" s="1" t="n">
        <v>0.625</v>
      </c>
    </row>
    <row r="3" customFormat="false" ht="14.35" hidden="false" customHeight="false" outlineLevel="0" collapsed="false">
      <c r="A3" s="1" t="s">
        <v>4</v>
      </c>
      <c r="B3" s="1" t="n">
        <v>-0.625</v>
      </c>
      <c r="E3" s="1" t="s">
        <v>5</v>
      </c>
      <c r="F3" s="1" t="n">
        <f aca="false">F2-((SIN(F2)-F2^2+1)/(COS(F2)-2*F2))</f>
        <v>3.34566499651311</v>
      </c>
      <c r="G3" s="1" t="str">
        <f aca="false">IF(ABS(F1-F2)&lt;10^(-7), "стоп","продолжай")</f>
        <v>продолжай</v>
      </c>
    </row>
    <row r="4" customFormat="false" ht="14.35" hidden="false" customHeight="false" outlineLevel="0" collapsed="false">
      <c r="A4" s="1" t="s">
        <v>5</v>
      </c>
      <c r="B4" s="1" t="n">
        <f aca="false">B3-(B3^5+2*B3+5)/5*B3^4+2</f>
        <v>1.26346946507692</v>
      </c>
      <c r="C4" s="1" t="str">
        <f aca="false">IF(ABS(B3-B4)&lt;10^(-7), "стоп","продолжай")</f>
        <v>продолжай</v>
      </c>
      <c r="E4" s="1" t="s">
        <v>6</v>
      </c>
      <c r="F4" s="1" t="n">
        <f aca="false">F3-((SIN(F3)-F3^2+1)/(COS(F3)-2*F3))</f>
        <v>1.99033933325692</v>
      </c>
      <c r="G4" s="1" t="str">
        <f aca="false">IF(ABS(F2-F3)&lt;10^(-7), "стоп","продолжай")</f>
        <v>продолжай</v>
      </c>
    </row>
    <row r="5" customFormat="false" ht="14.35" hidden="false" customHeight="false" outlineLevel="0" collapsed="false">
      <c r="A5" s="1" t="s">
        <v>6</v>
      </c>
      <c r="B5" s="1" t="n">
        <f aca="false">B4-(B4^3-7)/(3*B4^2)</f>
        <v>2.30397607983701</v>
      </c>
      <c r="C5" s="1" t="str">
        <f aca="false">IF(ABS(B4-B5)&lt;10^(-7), "стоп","продолжай")</f>
        <v>продолжай</v>
      </c>
      <c r="E5" s="1" t="s">
        <v>7</v>
      </c>
      <c r="F5" s="1" t="n">
        <f aca="false">F4-((SIN(F4)-F4^2+1)/(COS(F4)-2*F4))</f>
        <v>1.5235742246451</v>
      </c>
      <c r="G5" s="1" t="str">
        <f aca="false">IF(ABS(F3-F4)&lt;10^(-7), "стоп","продолжай")</f>
        <v>продолжай</v>
      </c>
    </row>
    <row r="6" customFormat="false" ht="14.35" hidden="false" customHeight="false" outlineLevel="0" collapsed="false">
      <c r="A6" s="1" t="s">
        <v>7</v>
      </c>
      <c r="B6" s="1" t="n">
        <f aca="false">B5-(B5^3-7)/(3*B5^2)</f>
        <v>1.975546774664</v>
      </c>
      <c r="C6" s="1" t="str">
        <f aca="false">IF(ABS(B5-B6)&lt;10^(-7), "стоп","продолжай")</f>
        <v>продолжай</v>
      </c>
      <c r="E6" s="1" t="s">
        <v>8</v>
      </c>
      <c r="F6" s="1" t="n">
        <f aca="false">F5-((SIN(F5)-F5^2+1)/(COS(F5)-2*F5))</f>
        <v>1.41610782343069</v>
      </c>
      <c r="G6" s="1" t="str">
        <f aca="false">IF(ABS(F4-F5)&lt;10^(-7), "стоп","продолжай")</f>
        <v>продолжай</v>
      </c>
    </row>
    <row r="7" customFormat="false" ht="14.35" hidden="false" customHeight="false" outlineLevel="0" collapsed="false">
      <c r="A7" s="1" t="s">
        <v>8</v>
      </c>
      <c r="B7" s="1" t="n">
        <f aca="false">B6-(B6^3-7)/(3*B6^2)</f>
        <v>1.9148948364051</v>
      </c>
      <c r="C7" s="1" t="str">
        <f aca="false">IF(ABS(B6-B7)&lt;10^(-7), "стоп","продолжай")</f>
        <v>продолжай</v>
      </c>
      <c r="E7" s="1" t="s">
        <v>9</v>
      </c>
      <c r="F7" s="1" t="n">
        <f aca="false">F6-((SIN(F6)-F6^2+1)/(COS(F6)-2*F6))</f>
        <v>1.40964745376036</v>
      </c>
      <c r="G7" s="1" t="str">
        <f aca="false">IF(ABS(F5-F6)&lt;10^(-7), "стоп","продолжай")</f>
        <v>продолжай</v>
      </c>
    </row>
    <row r="8" customFormat="false" ht="14.35" hidden="false" customHeight="false" outlineLevel="0" collapsed="false">
      <c r="A8" s="1" t="s">
        <v>9</v>
      </c>
      <c r="B8" s="1" t="n">
        <f aca="false">B7-(B7^3-7)/(3*B7^2)</f>
        <v>1.91293319573805</v>
      </c>
      <c r="C8" s="1" t="str">
        <f aca="false">IF(ABS(B7-B8)&lt;10^(-7), "стоп","продолжай")</f>
        <v>продолжай</v>
      </c>
      <c r="E8" s="1" t="s">
        <v>10</v>
      </c>
      <c r="F8" s="1" t="n">
        <f aca="false">F7-((SIN(F7)-F7^2+1)/(COS(F7)-2*F7))</f>
        <v>1.40962400431148</v>
      </c>
      <c r="G8" s="1" t="str">
        <f aca="false">IF(ABS(F6-F7)&lt;10^(-7), "стоп","продолжай")</f>
        <v>продолжай</v>
      </c>
    </row>
    <row r="9" customFormat="false" ht="14.35" hidden="false" customHeight="false" outlineLevel="0" collapsed="false">
      <c r="A9" s="1" t="s">
        <v>10</v>
      </c>
      <c r="B9" s="1" t="n">
        <f aca="false">B8-(B8^3-7)/(3*B8^2)</f>
        <v>1.91293118277451</v>
      </c>
      <c r="C9" s="1" t="str">
        <f aca="false">IF(ABS(B8-B9)&lt;10^(-7), "стоп","продолжай")</f>
        <v>продолжай</v>
      </c>
      <c r="E9" s="1" t="s">
        <v>11</v>
      </c>
      <c r="F9" s="1" t="n">
        <f aca="false">F8-((SIN(F8)-F8^2+1)/(COS(F8)-2*F8))</f>
        <v>1.4096240040026</v>
      </c>
      <c r="G9" s="1" t="str">
        <f aca="false">IF(ABS(F7-F8)&lt;10^(-7), "стоп","продолжай")</f>
        <v>продолжай</v>
      </c>
    </row>
    <row r="10" customFormat="false" ht="14.35" hidden="false" customHeight="false" outlineLevel="0" collapsed="false">
      <c r="A10" s="4" t="s">
        <v>11</v>
      </c>
      <c r="B10" s="4" t="n">
        <f aca="false">B9-(B9^3-7)/(3*B9^2)</f>
        <v>1.91293118277239</v>
      </c>
      <c r="C10" s="4" t="str">
        <f aca="false">IF(ABS(B9-B10)&lt;10^(-7), "стоп","продолжай")</f>
        <v>стоп</v>
      </c>
      <c r="E10" s="4" t="s">
        <v>12</v>
      </c>
      <c r="F10" s="4" t="n">
        <f aca="false">F9-((SIN(F9)-F9^2+1)/(COS(F9)-2*F9))</f>
        <v>1.4096240040026</v>
      </c>
      <c r="G10" s="4" t="str">
        <f aca="false">IF(ABS(F8-F9)&lt;10^(-7), "стоп","продолжай")</f>
        <v>стоп</v>
      </c>
    </row>
    <row r="11" customFormat="false" ht="14.35" hidden="false" customHeight="false" outlineLevel="0" collapsed="false">
      <c r="A11" s="2" t="s">
        <v>13</v>
      </c>
      <c r="B11" s="2"/>
      <c r="C11" s="2"/>
      <c r="E11" s="2" t="s">
        <v>14</v>
      </c>
      <c r="F11" s="2"/>
      <c r="G11" s="2"/>
    </row>
    <row r="12" customFormat="false" ht="14.35" hidden="false" customHeight="false" outlineLevel="0" collapsed="false">
      <c r="A12" s="1" t="s">
        <v>2</v>
      </c>
      <c r="B12" s="1" t="s">
        <v>3</v>
      </c>
      <c r="E12" s="1" t="s">
        <v>4</v>
      </c>
      <c r="F12" s="1" t="n">
        <v>1.875</v>
      </c>
    </row>
    <row r="13" customFormat="false" ht="14.35" hidden="false" customHeight="false" outlineLevel="0" collapsed="false">
      <c r="A13" s="1" t="s">
        <v>4</v>
      </c>
      <c r="B13" s="1" t="n">
        <v>1.25</v>
      </c>
      <c r="E13" s="1" t="s">
        <v>5</v>
      </c>
      <c r="F13" s="1" t="n">
        <f aca="false">F12-((SIN(F12)-F12^2+1)/(COS(F12)-2*F12))</f>
        <v>1.48939034496108</v>
      </c>
      <c r="G13" s="1" t="str">
        <f aca="false">IF(ABS(F12-F13)&lt;10^(-7), "стоп","продолжай")</f>
        <v>продолжай</v>
      </c>
    </row>
    <row r="14" customFormat="false" ht="14.35" hidden="false" customHeight="false" outlineLevel="0" collapsed="false">
      <c r="A14" s="1" t="s">
        <v>5</v>
      </c>
      <c r="B14" s="1" t="n">
        <f aca="false">B13-(-COS(B13) +B13-0.5/SIN(B13)+1)</f>
        <v>-0.157798708482015</v>
      </c>
      <c r="C14" s="5" t="str">
        <f aca="false">IF(ABS(B13-B14)&lt;10^(-7), "стоп","продолжай")</f>
        <v>продолжай</v>
      </c>
      <c r="E14" s="1" t="s">
        <v>6</v>
      </c>
      <c r="F14" s="1" t="n">
        <f aca="false">F13-(F13^3-7)/(3*F13^2)</f>
        <v>2.04479120005418</v>
      </c>
      <c r="G14" s="1" t="str">
        <f aca="false">IF(ABS(F13-F14)&lt;10^(-7), "стоп","продолжай")</f>
        <v>продолжай</v>
      </c>
    </row>
    <row r="15" customFormat="false" ht="14.35" hidden="false" customHeight="false" outlineLevel="0" collapsed="false">
      <c r="A15" s="1" t="s">
        <v>6</v>
      </c>
      <c r="B15" s="1" t="n">
        <f aca="false">B14-(B14^3-7)/(3*B14^2)</f>
        <v>93.6013396063102</v>
      </c>
      <c r="C15" s="1" t="str">
        <f aca="false">IF(ABS(B14-B15)&lt;10^(-7), "стоп","продолжай")</f>
        <v>продолжай</v>
      </c>
      <c r="E15" s="1" t="s">
        <v>7</v>
      </c>
      <c r="F15" s="1" t="n">
        <f aca="false">F14-(F14^3-7)/(3*F14^2)</f>
        <v>1.92125150639135</v>
      </c>
      <c r="G15" s="1" t="str">
        <f aca="false">IF(ABS(F14-F15)&lt;10^(-7), "стоп","продолжай")</f>
        <v>продолжай</v>
      </c>
    </row>
    <row r="16" customFormat="false" ht="14.35" hidden="false" customHeight="false" outlineLevel="0" collapsed="false">
      <c r="A16" s="1" t="s">
        <v>7</v>
      </c>
      <c r="B16" s="1" t="n">
        <f aca="false">B15-(B15^3-7)/(3*B15^2)</f>
        <v>62.4011593963156</v>
      </c>
      <c r="C16" s="1" t="str">
        <f aca="false">IF(ABS(B15-B16)&lt;10^(-7), "стоп","продолжай")</f>
        <v>продолжай</v>
      </c>
      <c r="E16" s="3" t="s">
        <v>8</v>
      </c>
      <c r="F16" s="3" t="n">
        <f aca="false">F15-(F15^3-7)/(3*F15^2)</f>
        <v>1.91296716340816</v>
      </c>
      <c r="G16" s="3" t="str">
        <f aca="false">IF(ABS(F15-F16)&lt;10^(-7), "стоп","продолжай")</f>
        <v>продолжай</v>
      </c>
    </row>
    <row r="17" customFormat="false" ht="14.35" hidden="false" customHeight="false" outlineLevel="0" collapsed="false">
      <c r="A17" s="1" t="s">
        <v>8</v>
      </c>
      <c r="B17" s="1" t="n">
        <f aca="false">B16-(B16^3-7)/(3*B16^2)</f>
        <v>41.6013721580068</v>
      </c>
      <c r="C17" s="1" t="str">
        <f aca="false">IF(ABS(B16-B17)&lt;10^(-7), "стоп","продолжай")</f>
        <v>продолжай</v>
      </c>
      <c r="E17" s="3" t="s">
        <v>9</v>
      </c>
      <c r="F17" s="3" t="n">
        <f aca="false">F16-(F16^3-7)/(3*F16^2)</f>
        <v>1.91293118344914</v>
      </c>
      <c r="G17" s="3" t="str">
        <f aca="false">IF(ABS(F16-F17)&lt;10^(-7), "стоп","продолжай")</f>
        <v>продолжай</v>
      </c>
    </row>
    <row r="18" customFormat="false" ht="14.35" hidden="false" customHeight="false" outlineLevel="0" collapsed="false">
      <c r="A18" s="1" t="s">
        <v>9</v>
      </c>
      <c r="B18" s="1" t="n">
        <f aca="false">B17-(B17^3-7)/(3*B17^2)</f>
        <v>27.7355963275393</v>
      </c>
      <c r="C18" s="1" t="str">
        <f aca="false">IF(ABS(B17-B18)&lt;10^(-7), "стоп","продолжай")</f>
        <v>продолжай</v>
      </c>
      <c r="E18" s="4" t="s">
        <v>10</v>
      </c>
      <c r="F18" s="4" t="n">
        <f aca="false">F17-(F17^3-7)/(3*F17^2)</f>
        <v>1.91293118277239</v>
      </c>
      <c r="G18" s="4" t="str">
        <f aca="false">IF(ABS(F17-F18)&lt;10^(-7), "стоп","продолжай")</f>
        <v>стоп</v>
      </c>
    </row>
    <row r="19" customFormat="false" ht="14.35" hidden="false" customHeight="false" outlineLevel="0" collapsed="false">
      <c r="A19" s="3" t="s">
        <v>10</v>
      </c>
      <c r="B19" s="3" t="n">
        <f aca="false">B18-(B18^3-7)/(3*B18^2)</f>
        <v>18.4934307567376</v>
      </c>
      <c r="C19" s="3" t="str">
        <f aca="false">IF(ABS(B18-B19)&lt;10^(-7), "стоп","продолжай")</f>
        <v>продолжай</v>
      </c>
      <c r="E19" s="3"/>
      <c r="F19" s="3"/>
      <c r="G19" s="3"/>
    </row>
    <row r="20" customFormat="false" ht="14.35" hidden="false" customHeight="false" outlineLevel="0" collapsed="false">
      <c r="A20" s="3" t="s">
        <v>11</v>
      </c>
      <c r="B20" s="3" t="n">
        <f aca="false">B19-(B19^3-7)/(3*B19^2)</f>
        <v>12.3357763106455</v>
      </c>
      <c r="C20" s="3" t="str">
        <f aca="false">IF(ABS(B19-B20)&lt;10^(-7), "стоп","продолжай")</f>
        <v>продолжай</v>
      </c>
      <c r="E20" s="3"/>
      <c r="F20" s="3"/>
      <c r="G20" s="3"/>
    </row>
    <row r="21" customFormat="false" ht="14.35" hidden="false" customHeight="false" outlineLevel="0" collapsed="false">
      <c r="A21" s="3" t="s">
        <v>12</v>
      </c>
      <c r="B21" s="3" t="n">
        <f aca="false">B20-(B20^3-7)/(3*B20^2)</f>
        <v>8.23918446261908</v>
      </c>
      <c r="C21" s="3" t="str">
        <f aca="false">IF(ABS(B20-B21)&lt;10^(-7), "стоп","продолжай")</f>
        <v>продолжай</v>
      </c>
    </row>
    <row r="22" customFormat="false" ht="14.35" hidden="false" customHeight="false" outlineLevel="0" collapsed="false">
      <c r="A22" s="3" t="s">
        <v>15</v>
      </c>
      <c r="B22" s="3" t="n">
        <f aca="false">B21-(B21^3-7)/(3*B21^2)</f>
        <v>5.52716192111724</v>
      </c>
      <c r="C22" s="3" t="str">
        <f aca="false">IF(ABS(B21-B22)&lt;10^(-7), "стоп","продолжай")</f>
        <v>продолжай</v>
      </c>
      <c r="E22" s="0"/>
      <c r="F22" s="0"/>
      <c r="G22" s="0"/>
    </row>
    <row r="23" customFormat="false" ht="14.35" hidden="false" customHeight="false" outlineLevel="0" collapsed="false">
      <c r="A23" s="3" t="s">
        <v>16</v>
      </c>
      <c r="B23" s="3" t="n">
        <f aca="false">B22-(B22^3-7)/(3*B22^2)</f>
        <v>3.76115334006725</v>
      </c>
      <c r="C23" s="3" t="str">
        <f aca="false">IF(ABS(B22-B23)&lt;10^(-7), "стоп","продолжай")</f>
        <v>продолжай</v>
      </c>
      <c r="E23" s="0"/>
      <c r="F23" s="0"/>
      <c r="G23" s="0"/>
    </row>
    <row r="24" customFormat="false" ht="14.35" hidden="false" customHeight="false" outlineLevel="0" collapsed="false">
      <c r="A24" s="3" t="s">
        <v>17</v>
      </c>
      <c r="B24" s="3" t="n">
        <f aca="false">B23-(B23^3-7)/(3*B23^2)</f>
        <v>2.67237887017168</v>
      </c>
      <c r="C24" s="3" t="str">
        <f aca="false">IF(ABS(B23-B24)&lt;10^(-7), "стоп","продолжай")</f>
        <v>продолжай</v>
      </c>
      <c r="E24" s="0"/>
      <c r="F24" s="0"/>
      <c r="G24" s="0"/>
    </row>
    <row r="25" customFormat="false" ht="14.35" hidden="false" customHeight="false" outlineLevel="0" collapsed="false">
      <c r="A25" s="3" t="s">
        <v>18</v>
      </c>
      <c r="B25" s="3" t="n">
        <f aca="false">B24-(B24^3-7)/(3*B24^2)</f>
        <v>2.10830967979627</v>
      </c>
      <c r="C25" s="3" t="str">
        <f aca="false">IF(ABS(B24-B25)&lt;10^(-7), "стоп","продолжай")</f>
        <v>продолжай</v>
      </c>
      <c r="E25" s="0"/>
      <c r="F25" s="0"/>
      <c r="G25" s="0"/>
    </row>
    <row r="26" customFormat="false" ht="14.35" hidden="false" customHeight="false" outlineLevel="0" collapsed="false">
      <c r="A26" s="3" t="s">
        <v>19</v>
      </c>
      <c r="B26" s="3" t="n">
        <f aca="false">B25-(B25^3-7)/(3*B25^2)</f>
        <v>1.93047774735076</v>
      </c>
      <c r="C26" s="3" t="str">
        <f aca="false">IF(ABS(B25-B26)&lt;10^(-7), "стоп","продолжай")</f>
        <v>продолжай</v>
      </c>
      <c r="E26" s="0"/>
      <c r="F26" s="0"/>
      <c r="G26" s="0"/>
    </row>
    <row r="27" customFormat="false" ht="14.35" hidden="false" customHeight="false" outlineLevel="0" collapsed="false">
      <c r="A27" s="3" t="s">
        <v>20</v>
      </c>
      <c r="B27" s="3" t="n">
        <f aca="false">B26-(B26^3-7)/(3*B26^2)</f>
        <v>1.91309018441085</v>
      </c>
      <c r="C27" s="3" t="str">
        <f aca="false">IF(ABS(B26-B27)&lt;10^(-7), "стоп","продолжай")</f>
        <v>продолжай</v>
      </c>
      <c r="E27" s="0"/>
      <c r="F27" s="0"/>
      <c r="G27" s="0"/>
    </row>
    <row r="28" customFormat="false" ht="14.35" hidden="false" customHeight="false" outlineLevel="0" collapsed="false">
      <c r="A28" s="3" t="s">
        <v>21</v>
      </c>
      <c r="B28" s="3" t="n">
        <f aca="false">B27-(B27^3-7)/(3*B27^2)</f>
        <v>1.91293119598704</v>
      </c>
      <c r="C28" s="3" t="str">
        <f aca="false">IF(ABS(B27-B28)&lt;10^(-7), "стоп","продолжай")</f>
        <v>продолжай</v>
      </c>
    </row>
    <row r="29" customFormat="false" ht="14.35" hidden="false" customHeight="false" outlineLevel="0" collapsed="false">
      <c r="A29" s="4" t="s">
        <v>22</v>
      </c>
      <c r="B29" s="4" t="n">
        <f aca="false">B28-(B28^3-7)/(3*B28^2)</f>
        <v>1.91293118277239</v>
      </c>
      <c r="C29" s="4" t="str">
        <f aca="false">IF(ABS(B28-B29)&lt;10^(-7), "стоп","продолжай")</f>
        <v>стоп</v>
      </c>
    </row>
    <row r="30" customFormat="false" ht="14.35" hidden="false" customHeight="false" outlineLevel="0" collapsed="false">
      <c r="A30" s="2" t="s">
        <v>23</v>
      </c>
      <c r="B30" s="2"/>
      <c r="C30" s="2"/>
    </row>
    <row r="31" customFormat="false" ht="14.35" hidden="false" customHeight="false" outlineLevel="0" collapsed="false">
      <c r="A31" s="1" t="s">
        <v>2</v>
      </c>
      <c r="B31" s="1" t="s">
        <v>3</v>
      </c>
    </row>
    <row r="32" customFormat="false" ht="14.35" hidden="false" customHeight="false" outlineLevel="0" collapsed="false">
      <c r="A32" s="1" t="s">
        <v>4</v>
      </c>
      <c r="B32" s="1" t="n">
        <v>2.5</v>
      </c>
    </row>
    <row r="33" customFormat="false" ht="14.35" hidden="false" customHeight="false" outlineLevel="0" collapsed="false">
      <c r="A33" s="1" t="s">
        <v>5</v>
      </c>
      <c r="B33" s="1" t="n">
        <f aca="false">B32-(B32^2-2-3*SQRT(B32))/(2*B32-3/2*SQRT(B32))</f>
        <v>2.68773276952135</v>
      </c>
      <c r="C33" s="1" t="str">
        <f aca="false">IF(ABS(B32-B33)&lt;10^(-7), "стоп","продолжай")</f>
        <v>продолжай</v>
      </c>
    </row>
    <row r="34" customFormat="false" ht="14.35" hidden="false" customHeight="false" outlineLevel="0" collapsed="false">
      <c r="A34" s="1" t="s">
        <v>6</v>
      </c>
      <c r="B34" s="1" t="n">
        <f aca="false">B33-(B33^2-2-3*SQRT(B33))/(2*B33-3/2*SQRT(B33))</f>
        <v>2.58293781863765</v>
      </c>
      <c r="C34" s="1" t="str">
        <f aca="false">IF(ABS(B33-B34)&lt;10^(-7), "стоп","продолжай")</f>
        <v>продолжай</v>
      </c>
    </row>
    <row r="35" customFormat="false" ht="14.35" hidden="false" customHeight="false" outlineLevel="0" collapsed="false">
      <c r="A35" s="1" t="s">
        <v>7</v>
      </c>
      <c r="B35" s="1" t="n">
        <f aca="false">B34-(B34^2-2-3*SQRT(B34))/(2*B34-3/2*SQRT(B34))</f>
        <v>2.6373408856502</v>
      </c>
      <c r="C35" s="1" t="str">
        <f aca="false">IF(ABS(B34-B35)&lt;10^(-7), "стоп","продолжай")</f>
        <v>продолжай</v>
      </c>
    </row>
    <row r="36" customFormat="false" ht="14.35" hidden="false" customHeight="false" outlineLevel="0" collapsed="false">
      <c r="A36" s="1" t="s">
        <v>8</v>
      </c>
      <c r="B36" s="1" t="n">
        <f aca="false">B35-(B35^2-2-3*SQRT(B35))/(2*B35-3/2*SQRT(B35))</f>
        <v>2.60789098263492</v>
      </c>
      <c r="C36" s="1" t="str">
        <f aca="false">IF(ABS(B35-B36)&lt;10^(-7), "стоп","продолжай")</f>
        <v>продолжай</v>
      </c>
    </row>
    <row r="37" customFormat="false" ht="14.35" hidden="false" customHeight="false" outlineLevel="0" collapsed="false">
      <c r="A37" s="1" t="s">
        <v>9</v>
      </c>
      <c r="B37" s="1" t="n">
        <f aca="false">B36-(B36^2-2-3*SQRT(B36))/(2*B36-3/2*SQRT(B36))</f>
        <v>2.62349698289885</v>
      </c>
      <c r="C37" s="1" t="str">
        <f aca="false">IF(ABS(B36-B37)&lt;10^(-7), "стоп","продолжай")</f>
        <v>продолжай</v>
      </c>
    </row>
    <row r="38" customFormat="false" ht="14.35" hidden="false" customHeight="false" outlineLevel="0" collapsed="false">
      <c r="A38" s="1" t="s">
        <v>10</v>
      </c>
      <c r="B38" s="1" t="n">
        <f aca="false">B37-(B37^2-2-3*SQRT(B37))/(2*B37-3/2*SQRT(B37))</f>
        <v>2.61513022020453</v>
      </c>
      <c r="C38" s="1" t="str">
        <f aca="false">IF(ABS(B37-B38)&lt;10^(-7), "стоп","продолжай")</f>
        <v>продолжай</v>
      </c>
    </row>
    <row r="39" customFormat="false" ht="14.35" hidden="false" customHeight="false" outlineLevel="0" collapsed="false">
      <c r="A39" s="1" t="s">
        <v>11</v>
      </c>
      <c r="B39" s="1" t="n">
        <f aca="false">B38-(B38^2-2-3*SQRT(B38))/(2*B38-3/2*SQRT(B38))</f>
        <v>2.6195883983166</v>
      </c>
      <c r="C39" s="1" t="str">
        <f aca="false">IF(ABS(B38-B39)&lt;10^(-7), "стоп","продолжай")</f>
        <v>продолжай</v>
      </c>
    </row>
    <row r="40" customFormat="false" ht="14.35" hidden="false" customHeight="false" outlineLevel="0" collapsed="false">
      <c r="A40" s="1" t="s">
        <v>12</v>
      </c>
      <c r="B40" s="1" t="n">
        <f aca="false">B39-(B39^2-2-3*SQRT(B39))/(2*B39-3/2*SQRT(B39))</f>
        <v>2.61720503260542</v>
      </c>
      <c r="C40" s="1" t="str">
        <f aca="false">IF(ABS(B39-B40)&lt;10^(-7), "стоп","продолжай")</f>
        <v>продолжай</v>
      </c>
    </row>
    <row r="41" customFormat="false" ht="14.35" hidden="false" customHeight="false" outlineLevel="0" collapsed="false">
      <c r="A41" s="1" t="s">
        <v>15</v>
      </c>
      <c r="B41" s="1" t="n">
        <f aca="false">B40-(B40^2-2-3*SQRT(B40))/(2*B40-3/2*SQRT(B40))</f>
        <v>2.61847695729832</v>
      </c>
      <c r="C41" s="1" t="str">
        <f aca="false">IF(ABS(B40-B41)&lt;10^(-7), "стоп","продолжай")</f>
        <v>продолжай</v>
      </c>
    </row>
    <row r="42" customFormat="false" ht="14.35" hidden="false" customHeight="false" outlineLevel="0" collapsed="false">
      <c r="A42" s="1" t="s">
        <v>16</v>
      </c>
      <c r="B42" s="1" t="n">
        <f aca="false">B41-(B41^2-2-3*SQRT(B41))/(2*B41-3/2*SQRT(B41))</f>
        <v>2.61779753450756</v>
      </c>
      <c r="C42" s="1" t="str">
        <f aca="false">IF(ABS(B41-B42)&lt;10^(-7), "стоп","продолжай")</f>
        <v>продолжай</v>
      </c>
    </row>
    <row r="43" customFormat="false" ht="14.35" hidden="false" customHeight="false" outlineLevel="0" collapsed="false">
      <c r="A43" s="1" t="s">
        <v>17</v>
      </c>
      <c r="B43" s="1" t="n">
        <f aca="false">B42-(B42^2-2-3*SQRT(B42))/(2*B42-3/2*SQRT(B42))</f>
        <v>2.61816027929577</v>
      </c>
      <c r="C43" s="1" t="str">
        <f aca="false">IF(ABS(B42-B43)&lt;10^(-7), "стоп","продолжай")</f>
        <v>продолжай</v>
      </c>
    </row>
    <row r="44" customFormat="false" ht="14.35" hidden="false" customHeight="false" outlineLevel="0" collapsed="false">
      <c r="A44" s="1" t="s">
        <v>18</v>
      </c>
      <c r="B44" s="1" t="n">
        <f aca="false">B43-(B43^2-2-3*SQRT(B43))/(2*B43-3/2*SQRT(B43))</f>
        <v>2.61796655747766</v>
      </c>
      <c r="C44" s="1" t="str">
        <f aca="false">IF(ABS(B43-B44)&lt;10^(-7), "стоп","продолжай")</f>
        <v>продолжай</v>
      </c>
    </row>
    <row r="45" customFormat="false" ht="14.35" hidden="false" customHeight="false" outlineLevel="0" collapsed="false">
      <c r="A45" s="1" t="s">
        <v>19</v>
      </c>
      <c r="B45" s="1" t="n">
        <f aca="false">B44-(B44^2-2-3*SQRT(B44))/(2*B44-3/2*SQRT(B44))</f>
        <v>2.61806999874065</v>
      </c>
      <c r="C45" s="1" t="str">
        <f aca="false">IF(ABS(B44-B45)&lt;10^(-7), "стоп","продолжай")</f>
        <v>продолжай</v>
      </c>
    </row>
    <row r="46" customFormat="false" ht="14.35" hidden="false" customHeight="false" outlineLevel="0" collapsed="false">
      <c r="A46" s="1" t="s">
        <v>20</v>
      </c>
      <c r="B46" s="1" t="n">
        <f aca="false">B45-(B45^2-2-3*SQRT(B45))/(2*B45-3/2*SQRT(B45))</f>
        <v>2.61801476019361</v>
      </c>
      <c r="C46" s="1" t="str">
        <f aca="false">IF(ABS(B45-B46)&lt;10^(-7), "стоп","продолжай")</f>
        <v>продолжай</v>
      </c>
    </row>
    <row r="47" customFormat="false" ht="14.35" hidden="false" customHeight="false" outlineLevel="0" collapsed="false">
      <c r="A47" s="1" t="s">
        <v>21</v>
      </c>
      <c r="B47" s="1" t="n">
        <f aca="false">B46-(B46^2-2-3*SQRT(B46))/(2*B46-3/2*SQRT(B46))</f>
        <v>2.61804425686272</v>
      </c>
      <c r="C47" s="1" t="str">
        <f aca="false">IF(ABS(B46-B47)&lt;10^(-7), "стоп","продолжай")</f>
        <v>продолжай</v>
      </c>
    </row>
    <row r="48" customFormat="false" ht="14.35" hidden="false" customHeight="false" outlineLevel="0" collapsed="false">
      <c r="A48" s="1" t="s">
        <v>22</v>
      </c>
      <c r="B48" s="1" t="n">
        <f aca="false">B47-(B47^2-2-3*SQRT(B47))/(2*B47-3/2*SQRT(B47))</f>
        <v>2.61802850568036</v>
      </c>
      <c r="C48" s="1" t="str">
        <f aca="false">IF(ABS(B47-B48)&lt;10^(-7), "стоп","продолжай")</f>
        <v>продолжай</v>
      </c>
    </row>
    <row r="49" customFormat="false" ht="14.35" hidden="false" customHeight="false" outlineLevel="0" collapsed="false">
      <c r="A49" s="1" t="s">
        <v>24</v>
      </c>
      <c r="B49" s="1" t="n">
        <f aca="false">B48-(B48^2-2-3*SQRT(B48))/(2*B48-3/2*SQRT(B48))</f>
        <v>2.61803691669317</v>
      </c>
      <c r="C49" s="1" t="str">
        <f aca="false">IF(ABS(B48-B49)&lt;10^(-7), "стоп","продолжай")</f>
        <v>продолжай</v>
      </c>
    </row>
    <row r="50" customFormat="false" ht="14.35" hidden="false" customHeight="false" outlineLevel="0" collapsed="false">
      <c r="A50" s="1" t="s">
        <v>25</v>
      </c>
      <c r="B50" s="1" t="n">
        <f aca="false">B49-(B49^2-2-3*SQRT(B49))/(2*B49-3/2*SQRT(B49))</f>
        <v>2.61803242524777</v>
      </c>
      <c r="C50" s="1" t="str">
        <f aca="false">IF(ABS(B49-B50)&lt;10^(-7), "стоп","продолжай")</f>
        <v>продолжай</v>
      </c>
    </row>
    <row r="51" customFormat="false" ht="14.35" hidden="false" customHeight="false" outlineLevel="0" collapsed="false">
      <c r="A51" s="1" t="s">
        <v>26</v>
      </c>
      <c r="B51" s="1" t="n">
        <f aca="false">B50-(B50^2-2-3*SQRT(B50))/(2*B50-3/2*SQRT(B50))</f>
        <v>2.61803482365274</v>
      </c>
      <c r="C51" s="1" t="str">
        <f aca="false">IF(ABS(B50-B51)&lt;10^(-7), "стоп","продолжай")</f>
        <v>продолжай</v>
      </c>
    </row>
    <row r="52" customFormat="false" ht="14.35" hidden="false" customHeight="false" outlineLevel="0" collapsed="false">
      <c r="A52" s="1" t="s">
        <v>27</v>
      </c>
      <c r="B52" s="1" t="n">
        <f aca="false">B51-(B51^2-2-3*SQRT(B51))/(2*B51-3/2*SQRT(B51))</f>
        <v>2.61803354291657</v>
      </c>
      <c r="C52" s="1" t="str">
        <f aca="false">IF(ABS(B51-B52)&lt;10^(-7), "стоп","продолжай")</f>
        <v>продолжай</v>
      </c>
    </row>
    <row r="53" customFormat="false" ht="14.35" hidden="false" customHeight="false" outlineLevel="0" collapsed="false">
      <c r="A53" s="1" t="s">
        <v>28</v>
      </c>
      <c r="B53" s="1" t="n">
        <f aca="false">B52-(B52^2-2-3*SQRT(B52))/(2*B52-3/2*SQRT(B52))</f>
        <v>2.61803422682259</v>
      </c>
      <c r="C53" s="1" t="str">
        <f aca="false">IF(ABS(B52-B53)&lt;10^(-7), "стоп","продолжай")</f>
        <v>продолжай</v>
      </c>
    </row>
    <row r="54" customFormat="false" ht="14.35" hidden="false" customHeight="false" outlineLevel="0" collapsed="false">
      <c r="A54" s="1" t="s">
        <v>29</v>
      </c>
      <c r="B54" s="1" t="n">
        <f aca="false">B53-(B53^2-2-3*SQRT(B53))/(2*B53-3/2*SQRT(B53))</f>
        <v>2.61803386162038</v>
      </c>
      <c r="C54" s="1" t="str">
        <f aca="false">IF(ABS(B53-B54)&lt;10^(-7), "стоп","продолжай")</f>
        <v>продолжай</v>
      </c>
    </row>
    <row r="55" customFormat="false" ht="14.35" hidden="false" customHeight="false" outlineLevel="0" collapsed="false">
      <c r="A55" s="1" t="s">
        <v>30</v>
      </c>
      <c r="B55" s="1" t="n">
        <f aca="false">B54-(B54^2-2-3*SQRT(B54))/(2*B54-3/2*SQRT(B54))</f>
        <v>2.61803405663638</v>
      </c>
      <c r="C55" s="1" t="str">
        <f aca="false">IF(ABS(B54-B55)&lt;10^(-7), "стоп","продолжай")</f>
        <v>продолжай</v>
      </c>
    </row>
    <row r="56" customFormat="false" ht="14.35" hidden="false" customHeight="false" outlineLevel="0" collapsed="false">
      <c r="A56" s="1" t="s">
        <v>31</v>
      </c>
      <c r="B56" s="1" t="n">
        <f aca="false">B55-(B55^2-2-3*SQRT(B55))/(2*B55-3/2*SQRT(B55))</f>
        <v>2.61803395249888</v>
      </c>
      <c r="C56" s="1" t="str">
        <f aca="false">IF(ABS(B55-B56)&lt;10^(-7), "стоп","продолжай")</f>
        <v>продолжай</v>
      </c>
    </row>
    <row r="57" customFormat="false" ht="14.35" hidden="false" customHeight="false" outlineLevel="0" collapsed="false">
      <c r="A57" s="4" t="s">
        <v>32</v>
      </c>
      <c r="B57" s="4" t="n">
        <f aca="false">B56-(B56^2-2-3*SQRT(B56))/(2*B56-3/2*SQRT(B56))</f>
        <v>2.61803400810774</v>
      </c>
      <c r="C57" s="4" t="str">
        <f aca="false">IF(ABS(B56-B57)&lt;10^(-7), "стоп","продолжай")</f>
        <v>стоп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Serif,Обычный"&amp;12&amp;A</oddHeader>
    <oddFooter>&amp;C&amp;"DejaVu Serif,Обычный"&amp;12Страница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7" activeCellId="0" sqref="D37"/>
    </sheetView>
  </sheetViews>
  <sheetFormatPr defaultColWidth="11.23046875" defaultRowHeight="14.35" zeroHeight="false" outlineLevelRow="0" outlineLevelCol="0"/>
  <cols>
    <col collapsed="false" customWidth="false" hidden="false" outlineLevel="0" max="2" min="1" style="1" width="11.23"/>
    <col collapsed="false" customWidth="true" hidden="false" outlineLevel="0" max="3" min="3" style="1" width="23.07"/>
    <col collapsed="false" customWidth="true" hidden="false" outlineLevel="0" max="4" min="4" style="1" width="32.6"/>
    <col collapsed="false" customWidth="false" hidden="false" outlineLevel="0" max="6" min="5" style="1" width="11.23"/>
    <col collapsed="false" customWidth="true" hidden="false" outlineLevel="0" max="7" min="7" style="1" width="18.99"/>
    <col collapsed="false" customWidth="true" hidden="false" outlineLevel="0" max="8" min="8" style="1" width="21.16"/>
    <col collapsed="false" customWidth="false" hidden="false" outlineLevel="0" max="16384" min="9" style="1" width="11.23"/>
  </cols>
  <sheetData>
    <row r="1" customFormat="false" ht="14.35" hidden="false" customHeight="false" outlineLevel="0" collapsed="false">
      <c r="A1" s="2" t="s">
        <v>0</v>
      </c>
      <c r="B1" s="2"/>
      <c r="C1" s="2"/>
      <c r="D1" s="6"/>
      <c r="F1" s="2" t="s">
        <v>1</v>
      </c>
      <c r="G1" s="2"/>
      <c r="H1" s="2"/>
      <c r="I1" s="2"/>
    </row>
    <row r="2" customFormat="false" ht="14.35" hidden="false" customHeight="false" outlineLevel="0" collapsed="false">
      <c r="A2" s="7" t="s">
        <v>2</v>
      </c>
      <c r="B2" s="7"/>
      <c r="C2" s="7" t="s">
        <v>3</v>
      </c>
      <c r="D2" s="7"/>
      <c r="F2" s="1" t="s">
        <v>2</v>
      </c>
      <c r="H2" s="1" t="s">
        <v>3</v>
      </c>
    </row>
    <row r="3" customFormat="false" ht="14.35" hidden="false" customHeight="false" outlineLevel="0" collapsed="false">
      <c r="A3" s="1" t="s">
        <v>4</v>
      </c>
      <c r="B3" s="1" t="n">
        <v>-0.625</v>
      </c>
      <c r="C3" s="1" t="n">
        <f aca="false">B3^5+2*B3+5</f>
        <v>3.65463256835938</v>
      </c>
      <c r="F3" s="1" t="s">
        <v>4</v>
      </c>
      <c r="G3" s="1" t="n">
        <v>-1.25</v>
      </c>
      <c r="H3" s="1" t="n">
        <f aca="false">G3^2-1-SIN(G3)</f>
        <v>1.51148461935559</v>
      </c>
    </row>
    <row r="4" customFormat="false" ht="14.35" hidden="false" customHeight="false" outlineLevel="0" collapsed="false">
      <c r="A4" s="1" t="s">
        <v>5</v>
      </c>
      <c r="B4" s="1" t="n">
        <v>-1.25</v>
      </c>
      <c r="C4" s="1" t="n">
        <f aca="false">B4^5+2*B4+5</f>
        <v>-0.5517578125</v>
      </c>
      <c r="F4" s="1" t="s">
        <v>5</v>
      </c>
      <c r="G4" s="1" t="n">
        <v>-0.625</v>
      </c>
      <c r="H4" s="1" t="n">
        <f aca="false">G4^2-1-SIN(G4)</f>
        <v>-0.0242777270595378</v>
      </c>
    </row>
    <row r="5" customFormat="false" ht="14.35" hidden="false" customHeight="false" outlineLevel="0" collapsed="false">
      <c r="A5" s="1" t="s">
        <v>6</v>
      </c>
      <c r="B5" s="1" t="n">
        <f aca="false">B4-C4*(B4-B3)/(C4-C3)</f>
        <v>-1.16801791997678</v>
      </c>
      <c r="C5" s="1" t="n">
        <f aca="false">B5^5+2*B5+5</f>
        <v>0.490024281245818</v>
      </c>
      <c r="D5" s="1" t="str">
        <f aca="false">IF(ABS(B4-B5)&lt;10^(-7), "стоп","продолжай")</f>
        <v>продолжай</v>
      </c>
      <c r="F5" s="1" t="s">
        <v>6</v>
      </c>
      <c r="G5" s="1" t="n">
        <f aca="false">G4-H4*(G4-G3)/(H4-H3)</f>
        <v>-0.634880161111926</v>
      </c>
      <c r="H5" s="1" t="n">
        <f aca="false">G5^2-1-SIN(G5)</f>
        <v>-0.00384614982679354</v>
      </c>
      <c r="I5" s="1" t="str">
        <f aca="false">IF(ABS(G4-G5)&lt;10^(-7), "стоп","продолжай")</f>
        <v>продолжай</v>
      </c>
    </row>
    <row r="6" customFormat="false" ht="14.35" hidden="false" customHeight="false" outlineLevel="0" collapsed="false">
      <c r="A6" s="1" t="s">
        <v>7</v>
      </c>
      <c r="B6" s="1" t="n">
        <f aca="false">B5-C5*(B5-B4)/(C5-C4)</f>
        <v>-1.20657992836567</v>
      </c>
      <c r="C6" s="1" t="n">
        <f aca="false">B6^5+2*B6+5</f>
        <v>0.0295471869255204</v>
      </c>
      <c r="D6" s="1" t="str">
        <f aca="false">IF(ABS(B5-B6)&lt;10^(-7), "стоп","продолжай")</f>
        <v>продолжай</v>
      </c>
      <c r="F6" s="1" t="s">
        <v>7</v>
      </c>
      <c r="G6" s="1" t="n">
        <f aca="false">G5-H5*(G5-G4)/(H5-H4)</f>
        <v>-0.636740055701387</v>
      </c>
      <c r="H6" s="1" t="n">
        <f aca="false">G6^2-1-SIN(G6)</f>
        <v>1.5383769581101E-005</v>
      </c>
      <c r="I6" s="1" t="str">
        <f aca="false">IF(ABS(G5-G6)&lt;10^(-7), "стоп","продолжай")</f>
        <v>продолжай</v>
      </c>
    </row>
    <row r="7" customFormat="false" ht="14.35" hidden="false" customHeight="false" outlineLevel="0" collapsed="false">
      <c r="A7" s="1" t="s">
        <v>8</v>
      </c>
      <c r="B7" s="1" t="n">
        <f aca="false">B6-C6*(B6-B5)/(C6-C5)</f>
        <v>-1.20905431609123</v>
      </c>
      <c r="C7" s="1" t="n">
        <f aca="false">B7^5+2*B7+5</f>
        <v>-0.00173113607149844</v>
      </c>
      <c r="D7" s="1" t="str">
        <f aca="false">IF(ABS(B6-B7)&lt;10^(-7), "стоп","продолжай")</f>
        <v>продолжай</v>
      </c>
      <c r="F7" s="1" t="s">
        <v>8</v>
      </c>
      <c r="G7" s="1" t="n">
        <f aca="false">G6-H6*(G6-G5)/(H6-H5)</f>
        <v>-0.636732646160826</v>
      </c>
      <c r="H7" s="1" t="n">
        <f aca="false">G7^2-1-SIN(G7)</f>
        <v>-9.64889501631205E-009</v>
      </c>
      <c r="I7" s="1" t="str">
        <f aca="false">IF(ABS(G6-G7)&lt;10^(-7), "стоп","продолжай")</f>
        <v>продолжай</v>
      </c>
    </row>
    <row r="8" customFormat="false" ht="14.35" hidden="false" customHeight="false" outlineLevel="0" collapsed="false">
      <c r="A8" s="1" t="s">
        <v>9</v>
      </c>
      <c r="B8" s="1" t="n">
        <f aca="false">B7-C7*(B7-B6)/(C7-C6)</f>
        <v>-1.20891736815297</v>
      </c>
      <c r="C8" s="1" t="n">
        <f aca="false">B8^5+2*B8+5</f>
        <v>5.64540780256806E-006</v>
      </c>
      <c r="D8" s="1" t="str">
        <f aca="false">IF(ABS(B7-B8)&lt;10^(-7), "стоп","продолжай")</f>
        <v>продолжай</v>
      </c>
      <c r="F8" s="4" t="s">
        <v>9</v>
      </c>
      <c r="G8" s="4" t="n">
        <f aca="false">G7-H7*(G7-G6)/(H7-H6)</f>
        <v>-0.63673265080527</v>
      </c>
      <c r="H8" s="4" t="n">
        <f aca="false">G8^2-1-SIN(G8)</f>
        <v>-2.40918396343659E-014</v>
      </c>
      <c r="I8" s="4" t="str">
        <f aca="false">IF(ABS(G7-G8)&lt;10^(-7), "стоп","продолжай")</f>
        <v>стоп</v>
      </c>
    </row>
    <row r="9" customFormat="false" ht="14.35" hidden="false" customHeight="false" outlineLevel="0" collapsed="false">
      <c r="A9" s="1" t="s">
        <v>10</v>
      </c>
      <c r="B9" s="1" t="n">
        <f aca="false">B8-C8*(B8-B7)/(C8-C7)</f>
        <v>-1.20891781330222</v>
      </c>
      <c r="C9" s="1" t="n">
        <f aca="false">B9^5+2*B9+5</f>
        <v>1.07370823343445E-009</v>
      </c>
      <c r="D9" s="1" t="str">
        <f aca="false">IF(ABS(B8-B9)&lt;10^(-7), "стоп","продолжай")</f>
        <v>продолжай</v>
      </c>
    </row>
    <row r="10" customFormat="false" ht="14.35" hidden="false" customHeight="false" outlineLevel="0" collapsed="false">
      <c r="A10" s="1" t="s">
        <v>11</v>
      </c>
      <c r="B10" s="1" t="n">
        <f aca="false">B9-C9*(B9-B8)/(C9-C8)</f>
        <v>-1.2089178133869</v>
      </c>
      <c r="C10" s="1" t="n">
        <f aca="false">B10^5+2*B10+5</f>
        <v>0</v>
      </c>
      <c r="D10" s="1" t="str">
        <f aca="false">IF(ABS(B9-B10)&lt;10^(-7), "стоп","продолжай")</f>
        <v>стоп</v>
      </c>
      <c r="F10" s="2" t="s">
        <v>1</v>
      </c>
      <c r="G10" s="2"/>
      <c r="H10" s="2"/>
      <c r="I10" s="2"/>
    </row>
    <row r="11" customFormat="false" ht="14.35" hidden="false" customHeight="false" outlineLevel="0" collapsed="false">
      <c r="F11" s="1" t="s">
        <v>2</v>
      </c>
      <c r="H11" s="1" t="s">
        <v>3</v>
      </c>
    </row>
    <row r="12" customFormat="false" ht="14.35" hidden="false" customHeight="false" outlineLevel="0" collapsed="false">
      <c r="A12" s="2" t="s">
        <v>13</v>
      </c>
      <c r="B12" s="2"/>
      <c r="C12" s="2"/>
      <c r="D12" s="6"/>
      <c r="F12" s="1" t="s">
        <v>4</v>
      </c>
      <c r="G12" s="1" t="n">
        <v>1.25</v>
      </c>
      <c r="H12" s="1" t="n">
        <f aca="false">G12^2-1-SIN(G12)</f>
        <v>-0.386484619355586</v>
      </c>
    </row>
    <row r="13" customFormat="false" ht="14.35" hidden="false" customHeight="false" outlineLevel="0" collapsed="false">
      <c r="A13" s="1" t="s">
        <v>2</v>
      </c>
      <c r="C13" s="1" t="s">
        <v>3</v>
      </c>
      <c r="F13" s="1" t="s">
        <v>5</v>
      </c>
      <c r="G13" s="1" t="n">
        <v>1.875</v>
      </c>
      <c r="H13" s="1" t="n">
        <f aca="false">G13^2-1-SIN(G13)</f>
        <v>1.56153921839031</v>
      </c>
    </row>
    <row r="14" customFormat="false" ht="14.35" hidden="false" customHeight="false" outlineLevel="0" collapsed="false">
      <c r="A14" s="1" t="s">
        <v>4</v>
      </c>
      <c r="B14" s="1" t="n">
        <v>0</v>
      </c>
      <c r="C14" s="1" t="n">
        <f aca="false">-COS(B14)+B14-0.5</f>
        <v>-1.5</v>
      </c>
      <c r="F14" s="1" t="s">
        <v>6</v>
      </c>
      <c r="G14" s="1" t="n">
        <f aca="false">G13-H13*(G13-G12)/(H13-H12)</f>
        <v>1.37399893800927</v>
      </c>
      <c r="H14" s="1" t="n">
        <f aca="false">G14^2-1-SIN(G14)</f>
        <v>-0.0928247296004801</v>
      </c>
      <c r="I14" s="1" t="str">
        <f aca="false">IF(ABS(G13-G14)&lt;10^(-7), "стоп","продолжай")</f>
        <v>продолжай</v>
      </c>
    </row>
    <row r="15" customFormat="false" ht="14.35" hidden="false" customHeight="false" outlineLevel="0" collapsed="false">
      <c r="A15" s="1" t="s">
        <v>5</v>
      </c>
      <c r="B15" s="1" t="n">
        <v>1.25</v>
      </c>
      <c r="C15" s="1" t="n">
        <f aca="false">-COS(B15)+B15-0.5</f>
        <v>0.434677637604731</v>
      </c>
      <c r="F15" s="1" t="s">
        <v>7</v>
      </c>
      <c r="G15" s="1" t="n">
        <f aca="false">G14-H14*(G14-G13)/(H14-H13)</f>
        <v>1.40210961351409</v>
      </c>
      <c r="H15" s="1" t="n">
        <f aca="false">G15^2-1-SIN(G15)</f>
        <v>-0.0198947335394555</v>
      </c>
      <c r="I15" s="1" t="str">
        <f aca="false">IF(ABS(G14-G15)&lt;10^(-7), "стоп","продолжай")</f>
        <v>продолжай</v>
      </c>
    </row>
    <row r="16" customFormat="false" ht="14.35" hidden="false" customHeight="false" outlineLevel="0" collapsed="false">
      <c r="A16" s="1" t="s">
        <v>6</v>
      </c>
      <c r="B16" s="1" t="n">
        <f aca="false">B15-C15*(B15-B14)/(C15-C14)</f>
        <v>0.969153704759509</v>
      </c>
      <c r="C16" s="1" t="n">
        <f aca="false">-COS(B16)+B16-0.5</f>
        <v>-0.0968437207324926</v>
      </c>
      <c r="D16" s="1" t="str">
        <f aca="false">IF(ABS(B15-B16)&lt;10^(-7), "стоп","продолжай")</f>
        <v>продолжай</v>
      </c>
      <c r="F16" s="1" t="s">
        <v>8</v>
      </c>
      <c r="G16" s="1" t="n">
        <f aca="false">G15-H15*(G15-G14)/(H15-H14)</f>
        <v>1.40977798632347</v>
      </c>
      <c r="H16" s="1" t="n">
        <f aca="false">G16^2-1-SIN(G16)</f>
        <v>0.000409439382080157</v>
      </c>
      <c r="I16" s="1" t="str">
        <f aca="false">IF(ABS(G15-G16)&lt;10^(-7), "стоп","продолжай")</f>
        <v>продолжай</v>
      </c>
    </row>
    <row r="17" customFormat="false" ht="14.35" hidden="false" customHeight="false" outlineLevel="0" collapsed="false">
      <c r="A17" s="1" t="s">
        <v>7</v>
      </c>
      <c r="B17" s="1" t="n">
        <f aca="false">B16-C16*(B16-B15)/(C16-C15)</f>
        <v>1.02032417939502</v>
      </c>
      <c r="C17" s="1" t="n">
        <f aca="false">-COS(B17)+B17-0.5</f>
        <v>-0.0027655084975674</v>
      </c>
      <c r="D17" s="1" t="str">
        <f aca="false">IF(ABS(B16-B17)&lt;10^(-7), "стоп","продолжай")</f>
        <v>продолжай</v>
      </c>
      <c r="F17" s="1" t="s">
        <v>9</v>
      </c>
      <c r="G17" s="1" t="n">
        <f aca="false">G16-H16*(G16-G15)/(H16-H15)</f>
        <v>1.40962335141976</v>
      </c>
      <c r="H17" s="1" t="n">
        <f aca="false">G17^2-1-SIN(G17)</f>
        <v>-1.735068693276E-006</v>
      </c>
      <c r="I17" s="1" t="str">
        <f aca="false">IF(ABS(G16-G17)&lt;10^(-7), "стоп","продолжай")</f>
        <v>продолжай</v>
      </c>
    </row>
    <row r="18" customFormat="false" ht="14.35" hidden="false" customHeight="false" outlineLevel="0" collapsed="false">
      <c r="A18" s="1" t="s">
        <v>8</v>
      </c>
      <c r="B18" s="1" t="n">
        <f aca="false">B17-C17*(B17-B16)/(C17-C16)</f>
        <v>1.02182837871032</v>
      </c>
      <c r="C18" s="1" t="n">
        <f aca="false">-COS(B18)+B18-0.5</f>
        <v>2.12775546120092E-005</v>
      </c>
      <c r="D18" s="1" t="str">
        <f aca="false">IF(ABS(B17-B18)&lt;10^(-7), "стоп","продолжай")</f>
        <v>продолжай</v>
      </c>
      <c r="F18" s="1" t="s">
        <v>10</v>
      </c>
      <c r="G18" s="1" t="n">
        <f aca="false">G17-H17*(G17-G16)/(H17-H16)</f>
        <v>1.40962400394615</v>
      </c>
      <c r="H18" s="1" t="n">
        <f aca="false">G18^2-1-SIN(G18)</f>
        <v>-1.50065737614113E-010</v>
      </c>
      <c r="I18" s="1" t="str">
        <f aca="false">IF(ABS(G17-G18)&lt;10^(-7), "стоп","продолжай")</f>
        <v>продолжай</v>
      </c>
    </row>
    <row r="19" customFormat="false" ht="14.35" hidden="false" customHeight="false" outlineLevel="0" collapsed="false">
      <c r="A19" s="1" t="s">
        <v>9</v>
      </c>
      <c r="B19" s="1" t="n">
        <f aca="false">B18-C18*(B18-B17)/(C18-C17)</f>
        <v>1.02181689390938</v>
      </c>
      <c r="C19" s="1" t="n">
        <f aca="false">-COS(B19)+B19-0.5</f>
        <v>-4.47650094770324E-009</v>
      </c>
      <c r="D19" s="1" t="str">
        <f aca="false">IF(ABS(B18-B19)&lt;10^(-7), "стоп","продолжай")</f>
        <v>продолжай</v>
      </c>
      <c r="F19" s="4" t="s">
        <v>11</v>
      </c>
      <c r="G19" s="4" t="n">
        <f aca="false">G18-H18*(G18-G17)/(H18-H17)</f>
        <v>1.4096240040026</v>
      </c>
      <c r="H19" s="4" t="n">
        <f aca="false">G19^2-1-SIN(G19)</f>
        <v>0</v>
      </c>
      <c r="I19" s="4" t="str">
        <f aca="false">IF(ABS(G18-G19)&lt;10^(-7), "стоп","продолжай")</f>
        <v>стоп</v>
      </c>
    </row>
    <row r="20" customFormat="false" ht="14.35" hidden="false" customHeight="false" outlineLevel="0" collapsed="false">
      <c r="A20" s="1" t="s">
        <v>10</v>
      </c>
      <c r="B20" s="1" t="n">
        <f aca="false">B19-C19*(B19-B18)/(C19-C18)</f>
        <v>1.02181689632511</v>
      </c>
      <c r="C20" s="1" t="n">
        <f aca="false">-COS(B20)+B20-0.5</f>
        <v>-7.21644966006352E-015</v>
      </c>
      <c r="D20" s="1" t="str">
        <f aca="false">IF(ABS(B19-B20)&lt;10^(-7), "стоп","продолжай")</f>
        <v>стоп</v>
      </c>
    </row>
    <row r="21" customFormat="false" ht="14.35" hidden="false" customHeight="false" outlineLevel="0" collapsed="false">
      <c r="F21" s="0"/>
      <c r="G21" s="0"/>
      <c r="H21" s="0"/>
      <c r="I21" s="0"/>
    </row>
    <row r="22" customFormat="false" ht="14.35" hidden="false" customHeight="false" outlineLevel="0" collapsed="false">
      <c r="A22" s="2" t="s">
        <v>33</v>
      </c>
      <c r="B22" s="2"/>
      <c r="C22" s="2"/>
      <c r="D22" s="2"/>
      <c r="F22" s="0"/>
      <c r="G22" s="0"/>
      <c r="H22" s="0"/>
      <c r="I22" s="0"/>
    </row>
    <row r="23" customFormat="false" ht="14.35" hidden="false" customHeight="false" outlineLevel="0" collapsed="false">
      <c r="A23" s="1" t="s">
        <v>2</v>
      </c>
      <c r="C23" s="1" t="s">
        <v>3</v>
      </c>
      <c r="F23" s="0"/>
      <c r="G23" s="0"/>
      <c r="H23" s="0"/>
      <c r="I23" s="0"/>
    </row>
    <row r="24" customFormat="false" ht="14.35" hidden="false" customHeight="false" outlineLevel="0" collapsed="false">
      <c r="A24" s="1" t="s">
        <v>4</v>
      </c>
      <c r="B24" s="1" t="n">
        <v>2.5</v>
      </c>
      <c r="C24" s="1" t="n">
        <f aca="false">B24^2-2-3*SQRT(B24)</f>
        <v>-0.493416490252569</v>
      </c>
      <c r="F24" s="0"/>
      <c r="G24" s="0"/>
      <c r="H24" s="0"/>
      <c r="I24" s="0"/>
    </row>
    <row r="25" customFormat="false" ht="14.35" hidden="false" customHeight="false" outlineLevel="0" collapsed="false">
      <c r="A25" s="1" t="s">
        <v>5</v>
      </c>
      <c r="B25" s="1" t="n">
        <v>2.75</v>
      </c>
      <c r="C25" s="1" t="n">
        <f aca="false">B25^2-2-3*SQRT(B25)</f>
        <v>0.5875628144669</v>
      </c>
      <c r="F25" s="0"/>
      <c r="G25" s="0"/>
      <c r="H25" s="0"/>
      <c r="I25" s="0"/>
    </row>
    <row r="26" customFormat="false" ht="14.35" hidden="false" customHeight="false" outlineLevel="0" collapsed="false">
      <c r="A26" s="1" t="s">
        <v>6</v>
      </c>
      <c r="B26" s="1" t="n">
        <f aca="false">B25-C25*(B25-B24)/(C25-C24)</f>
        <v>2.61411330635525</v>
      </c>
      <c r="C26" s="1" t="n">
        <f aca="false">B26^2-2-3*SQRT(B26)</f>
        <v>-0.0168775535059567</v>
      </c>
      <c r="D26" s="1" t="str">
        <f aca="false">IF(ABS(B25-B26)&lt;10^(-7), "стоп","продолжай")</f>
        <v>продолжай</v>
      </c>
      <c r="F26" s="0"/>
      <c r="G26" s="0"/>
      <c r="H26" s="0"/>
      <c r="I26" s="0"/>
    </row>
    <row r="27" customFormat="false" ht="14.35" hidden="false" customHeight="false" outlineLevel="0" collapsed="false">
      <c r="A27" s="1" t="s">
        <v>7</v>
      </c>
      <c r="B27" s="1" t="n">
        <f aca="false">B26-C26*(B26-B25)/(C26-C25)</f>
        <v>2.61790761769556</v>
      </c>
      <c r="C27" s="1" t="n">
        <f aca="false">B27^2-2-3*SQRT(B27)</f>
        <v>-0.000544517637337094</v>
      </c>
      <c r="D27" s="1" t="str">
        <f aca="false">IF(ABS(B26-B27)&lt;10^(-7), "стоп","продолжай")</f>
        <v>продолжай</v>
      </c>
      <c r="F27" s="0"/>
      <c r="G27" s="0"/>
      <c r="H27" s="0"/>
      <c r="I27" s="0"/>
    </row>
    <row r="28" customFormat="false" ht="14.35" hidden="false" customHeight="false" outlineLevel="0" collapsed="false">
      <c r="A28" s="1" t="s">
        <v>8</v>
      </c>
      <c r="B28" s="1" t="n">
        <f aca="false">B27-C27*(B27-B26)/(C27-C26)</f>
        <v>2.61803411404706</v>
      </c>
      <c r="C28" s="1" t="n">
        <f aca="false">B28^2-2-3*SQRT(B28)</f>
        <v>5.39907635044301E-007</v>
      </c>
      <c r="D28" s="1" t="str">
        <f aca="false">IF(ABS(B27-B28)&lt;10^(-7), "стоп","продолжай")</f>
        <v>продолжай</v>
      </c>
      <c r="F28" s="0"/>
      <c r="G28" s="0"/>
      <c r="H28" s="0"/>
      <c r="I28" s="0"/>
    </row>
    <row r="29" customFormat="false" ht="14.35" hidden="false" customHeight="false" outlineLevel="0" collapsed="false">
      <c r="A29" s="1" t="s">
        <v>9</v>
      </c>
      <c r="B29" s="1" t="n">
        <f aca="false">B28-C28*(B28-B27)/(C28-C27)</f>
        <v>2.6180339887459</v>
      </c>
      <c r="C29" s="1" t="n">
        <f aca="false">B29^2-2-3*SQRT(B29)</f>
        <v>-1.72351022342809E-011</v>
      </c>
      <c r="D29" s="1" t="str">
        <f aca="false">IF(ABS(B28-B29)&lt;10^(-7), "стоп","продолжай")</f>
        <v>продолжай</v>
      </c>
      <c r="F29" s="0"/>
      <c r="G29" s="0"/>
      <c r="H29" s="0"/>
      <c r="I29" s="0"/>
    </row>
    <row r="30" customFormat="false" ht="14.35" hidden="false" customHeight="false" outlineLevel="0" collapsed="false">
      <c r="A30" s="4" t="s">
        <v>10</v>
      </c>
      <c r="B30" s="4" t="n">
        <f aca="false">B29-C29*(B29-B28)/(C29-C28)</f>
        <v>2.6180339887499</v>
      </c>
      <c r="C30" s="4" t="n">
        <f aca="false">B30^2-2-3*SQRT(B30)</f>
        <v>0</v>
      </c>
      <c r="D30" s="4" t="str">
        <f aca="false">IF(ABS(B29-B30)&lt;10^(-7), "стоп","продолжай")</f>
        <v>стоп</v>
      </c>
      <c r="F30" s="0"/>
      <c r="G30" s="0"/>
      <c r="H30" s="0"/>
      <c r="I30" s="0"/>
    </row>
    <row r="31" customFormat="false" ht="14.35" hidden="false" customHeight="false" outlineLevel="0" collapsed="false">
      <c r="F31" s="0"/>
      <c r="G31" s="0"/>
      <c r="H31" s="0"/>
      <c r="I31" s="0"/>
    </row>
    <row r="32" customFormat="false" ht="14.35" hidden="false" customHeight="false" outlineLevel="0" collapsed="false">
      <c r="F32" s="0"/>
      <c r="G32" s="0"/>
      <c r="H32" s="0"/>
      <c r="I32" s="0"/>
    </row>
    <row r="33" customFormat="false" ht="14.35" hidden="false" customHeight="false" outlineLevel="0" collapsed="false">
      <c r="F33" s="0"/>
      <c r="G33" s="0"/>
      <c r="H33" s="0"/>
      <c r="I33" s="0"/>
    </row>
    <row r="34" customFormat="false" ht="14.35" hidden="false" customHeight="false" outlineLevel="0" collapsed="false">
      <c r="F34" s="0"/>
      <c r="G34" s="0"/>
      <c r="H34" s="0"/>
      <c r="I3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Serif,Обычный"&amp;12&amp;A</oddHeader>
    <oddFooter>&amp;C&amp;"DejaVu Serif,Обычный"&amp;12Страница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2026-02-03T09:02:13Z</dcterms:created>
  <dc:creator/>
  <dc:description/>
  <dc:language>ru-RU</dc:language>
  <cp:lastModifiedBy/>
  <dcterms:modified xsi:type="dcterms:W3CDTF">2026-02-03T10:58:30Z</dcterms:modified>
  <cp:revision>1</cp:revision>
  <dc:subject/>
  <dc:title/>
</cp:coreProperties>
</file>