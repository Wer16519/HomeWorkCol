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Касательной" sheetId="1" state="visible" r:id="rId3"/>
    <sheet name="Секущей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<sst xmlns="http://schemas.openxmlformats.org/spreadsheetml/2006/main" count="117" uniqueCount="32">
  <si>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</si>
  <si>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</si>
  <si>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</si>
  <si>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</si>
  <si>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</si>
  <si>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задание 1(а)</t>
  </si>
  <si>
    <t xml:space="preserve">x5</t>
  </si>
  <si>
    <t xml:space="preserve">x6</t>
  </si>
  <si>
    <t xml:space="preserve">задание 1(е)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</si>
  <si>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</si>
  <si>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</si>
  <si>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</si>
  <si>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</si>
  <si>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</si>
  <si>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</si>
  <si>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</si>
  <si>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</si>
  <si>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</si>
  <si>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</si>
  <si>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</si>
  <si>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</si>
  <si>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</si>
  <si>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</si>
  <si>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</si>
  <si>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</si>
  <si>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</si>
  <si>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</si>
  <si>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задание 2(а)</t>
  </si>
  <si>
    <t xml:space="preserve">задание 2(б)</t>
  </si>
  <si>
    <t xml:space="preserve">f(x)</t>
  </si>
  <si>
    <t xml:space="preserve">Задание 2(а)</t>
  </si>
  <si>
    <t xml:space="preserve">Задание 2(б)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</si>
</sst>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"/>
    <numFmt numFmtId="166" formatCode="General"/>
  </numFmts>
  <fonts count="4">
    <font>
      <sz val="10"/>
      <name val="Open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7" activeCellId="0" sqref="B17"/>
    </sheetView>
  </sheetViews>
  <sheetFormatPr defaultColWidth="11.23046875" defaultRowHeight="14.35" zeroHeight="false" outlineLevelRow="0" outlineLevelCol="0"/>
  <cols>
    <col collapsed="false" customWidth="true" hidden="false" outlineLevel="0" max="2" min="2" style="0" width="11.16"/>
  </cols>
  <sheetData>
    <row r="1" customFormat="false" ht="14.35" hidden="false" customHeight="false" outlineLevel="0" collapsed="false">
      <c r="A1" s="0" t="s">
        <v>0</v>
      </c>
      <c r="B1" s="0" t="n">
        <v>2</v>
      </c>
    </row>
    <row r="2" customFormat="false" ht="14.35" hidden="false" customHeight="false" outlineLevel="0" collapsed="false">
      <c r="A2" s="0" t="s">
        <v>1</v>
      </c>
      <c r="B2" s="0" t="n">
        <f aca="false">B1-((B1^3)-7)/(3*B1^2)</f>
        <v>1.91666666666667</v>
      </c>
      <c r="C2" s="0" t="str">
        <f aca="false">IF(ABS(B1-B2)&lt;10^-7, "стоп","продолжай")</f>
        <v>продолжай</v>
      </c>
    </row>
    <row r="3" customFormat="false" ht="14.35" hidden="false" customHeight="false" outlineLevel="0" collapsed="false">
      <c r="A3" s="0" t="s">
        <v>2</v>
      </c>
      <c r="B3" s="0" t="n">
        <f aca="false">B2-((B2^3)-7)/(3*B2^2)</f>
        <v>1.91293845830708</v>
      </c>
      <c r="C3" s="0" t="str">
        <f aca="false">IF(ABS(B2-B3)&lt;10^-7, "стоп","продолжай")</f>
        <v>продолжай</v>
      </c>
    </row>
    <row r="4" customFormat="false" ht="14.35" hidden="false" customHeight="false" outlineLevel="0" collapsed="false">
      <c r="A4" s="0" t="s">
        <v>3</v>
      </c>
      <c r="B4" s="0" t="n">
        <f aca="false">B3-((B3^3)-7)/(3*B3^2)</f>
        <v>1.91293118280006</v>
      </c>
      <c r="C4" s="0" t="str">
        <f aca="false">IF(ABS(B3-B4)&lt;10^-7, "стоп","продолжай")</f>
        <v>продолжай</v>
      </c>
    </row>
    <row r="5" customFormat="false" ht="14.35" hidden="false" customHeight="false" outlineLevel="0" collapsed="false">
      <c r="A5" s="0" t="s">
        <v>4</v>
      </c>
      <c r="B5" s="0" t="n">
        <f aca="false">B4-((B4^3)-7)/(3*B4^2)</f>
        <v>1.91293118277239</v>
      </c>
      <c r="C5" s="0" t="str">
        <f aca="false">IF(ABS(B4-B5)&lt;10^-7, "стоп","продолжай")</f>
        <v>стоп</v>
      </c>
    </row>
    <row r="6" customFormat="false" ht="14.35" hidden="false" customHeight="false" outlineLevel="0" collapsed="false">
      <c r="A6" s="0" t="s">
        <v>5</v>
      </c>
    </row>
    <row r="7" customFormat="false" ht="14.35" hidden="false" customHeight="false" outlineLevel="0" collapsed="false">
      <c r="A7" s="0" t="s">
        <v>0</v>
      </c>
      <c r="B7" s="0" t="n">
        <v>1.25</v>
      </c>
    </row>
    <row r="8" customFormat="false" ht="14.35" hidden="false" customHeight="false" outlineLevel="0" collapsed="false">
      <c r="A8" s="0" t="s">
        <v>1</v>
      </c>
      <c r="B8" s="0" t="n">
        <f aca="false">B7-(B7^3+B7-1)/(3*B7^2+1)</f>
        <v>0.862637362637363</v>
      </c>
      <c r="C8" s="0" t="str">
        <f aca="false">IF(ABS(B7-B8)&lt;10^-7, "стоп","продолжай")</f>
        <v>продолжай</v>
      </c>
    </row>
    <row r="9" customFormat="false" ht="14.35" hidden="false" customHeight="false" outlineLevel="0" collapsed="false">
      <c r="A9" s="0" t="s">
        <v>2</v>
      </c>
      <c r="B9" s="0" t="n">
        <f aca="false">B8-(B8^3+B8-1)/(3*B8^2+1)</f>
        <v>0.706543290931221</v>
      </c>
      <c r="C9" s="0" t="str">
        <f aca="false">IF(ABS(B8-B9)&lt;10^-7, "стоп","продолжай")</f>
        <v>продолжай</v>
      </c>
    </row>
    <row r="10" customFormat="false" ht="14.35" hidden="false" customHeight="false" outlineLevel="0" collapsed="false">
      <c r="A10" s="0" t="s">
        <v>3</v>
      </c>
      <c r="B10" s="0" t="n">
        <f aca="false">B9-(B9^3+B9-1)/(3*B9^2+1)</f>
        <v>0.682819765953621</v>
      </c>
      <c r="C10" s="0" t="str">
        <f aca="false">IF(ABS(B9-B10)&lt;10^-7, "стоп","продолжай")</f>
        <v>продолжай</v>
      </c>
    </row>
    <row r="11" customFormat="false" ht="14.35" hidden="false" customHeight="false" outlineLevel="0" collapsed="false">
      <c r="A11" s="0" t="s">
        <v>4</v>
      </c>
      <c r="B11" s="0" t="n">
        <f aca="false">B10-(B10^3+B10-1)/(3*B10^2+1)</f>
        <v>0.682328010463678</v>
      </c>
      <c r="C11" s="0" t="str">
        <f aca="false">IF(ABS(B10-B11)&lt;10^-7, "стоп","продолжай")</f>
        <v>продолжай</v>
      </c>
    </row>
    <row r="12" customFormat="false" ht="14.35" hidden="false" customHeight="false" outlineLevel="0" collapsed="false">
      <c r="A12" s="0" t="s">
        <v>6</v>
      </c>
      <c r="B12" s="0" t="n">
        <f aca="false">B11-(B11^3+B11-1)/(3*B11^2+1)</f>
        <v>0.682327803828056</v>
      </c>
      <c r="C12" s="0" t="str">
        <f aca="false">IF(ABS(B11-B12)&lt;10^-7, "стоп","продолжай")</f>
        <v>продолжай</v>
      </c>
    </row>
    <row r="13" customFormat="false" ht="14.35" hidden="false" customHeight="false" outlineLevel="0" collapsed="false">
      <c r="A13" s="0" t="s">
        <v>7</v>
      </c>
      <c r="B13" s="0" t="n">
        <f aca="false">B12-(B12^3+B12-1)/(3*B12^2+1)</f>
        <v>0.682327803828019</v>
      </c>
      <c r="C13" s="0" t="str">
        <f aca="false">IF(ABS(B12-B13)&lt;10^-7, "стоп","продолжай")</f>
        <v>стоп</v>
      </c>
    </row>
    <row r="14" customFormat="false" ht="14.35" hidden="false" customHeight="false" outlineLevel="0" collapsed="false">
      <c r="A14" s="0" t="s">
        <v>8</v>
      </c>
    </row>
    <row r="15" customFormat="false" ht="14.35" hidden="false" customHeight="false" outlineLevel="0" collapsed="false">
      <c r="A15" s="0" t="s">
        <v>0</v>
      </c>
      <c r="B15" s="0" t="n">
        <v>0.5</v>
      </c>
    </row>
    <row r="16" customFormat="false" ht="14.35" hidden="false" customHeight="false" outlineLevel="0" collapsed="false">
      <c r="A16" s="0" t="s">
        <v>1</v>
      </c>
      <c r="B16" s="1" t="n">
        <f aca="false">B15-(COS(2*B15)-(3*B15^2)-1)/(-2*SIN(2*B15)-6*B15)</f>
        <v>0.241679973405456</v>
      </c>
      <c r="C16" s="0" t="str">
        <f aca="false">IF(ABS(B15-B16)&lt;10^-7, "стоп","продолжай")</f>
        <v>продолжай</v>
      </c>
    </row>
    <row r="17" customFormat="false" ht="14.35" hidden="false" customHeight="false" outlineLevel="0" collapsed="false">
      <c r="A17" s="0" t="s">
        <v>2</v>
      </c>
      <c r="B17" s="1" t="n">
        <f aca="false">B16-(COS(2*B16)-(3*B16^2)-1)/(-2*SIN(2*B16)-6*B16)</f>
        <v>0.119898977724499</v>
      </c>
      <c r="C17" s="0" t="str">
        <f aca="false">IF(ABS(B16-B17)&lt;10^-7, "стоп","продолжай")</f>
        <v>продолжай</v>
      </c>
    </row>
    <row r="18" customFormat="false" ht="14.35" hidden="false" customHeight="false" outlineLevel="0" collapsed="false">
      <c r="A18" s="0" t="s">
        <v>3</v>
      </c>
      <c r="B18" s="1" t="n">
        <f aca="false">B17-(COS(2*B17)-(3*B17^2)-1)/(-2*SIN(2*B17)-6*B17)</f>
        <v>0.059834580150669</v>
      </c>
      <c r="C18" s="0" t="str">
        <f aca="false">IF(ABS(B17-B18)&lt;10^-7, "стоп","продолжай")</f>
        <v>продолжай</v>
      </c>
    </row>
    <row r="19" customFormat="false" ht="14.35" hidden="false" customHeight="false" outlineLevel="0" collapsed="false">
      <c r="A19" s="0" t="s">
        <v>4</v>
      </c>
      <c r="B19" s="1" t="n">
        <f aca="false">B18-(COS(2*B18)-(3*B18^2)-1)/(-2*SIN(2*B18)-6*B18)</f>
        <v>0.0299030088540978</v>
      </c>
      <c r="C19" s="0" t="str">
        <f aca="false">IF(ABS(B18-B19)&lt;10^-7, "стоп","продолжай")</f>
        <v>продолжай</v>
      </c>
    </row>
    <row r="20" customFormat="false" ht="14.35" hidden="false" customHeight="false" outlineLevel="0" collapsed="false">
      <c r="A20" s="0" t="s">
        <v>6</v>
      </c>
      <c r="B20" s="1" t="n">
        <f aca="false">B19-(COS(2*B19)-(3*B19^2)-1)/(-2*SIN(2*B19)-6*B19)</f>
        <v>0.0149497218291076</v>
      </c>
      <c r="C20" s="0" t="str">
        <f aca="false">IF(ABS(B19-B20)&lt;10^-7, "стоп","продолжай")</f>
        <v>продолжай</v>
      </c>
    </row>
    <row r="21" customFormat="false" ht="14.35" hidden="false" customHeight="false" outlineLevel="0" collapsed="false">
      <c r="A21" s="0" t="s">
        <v>7</v>
      </c>
      <c r="B21" s="1" t="n">
        <f aca="false">B20-(COS(2*B20)-(3*B20^2)-1)/(-2*SIN(2*B20)-6*B20)</f>
        <v>0.00747463816949698</v>
      </c>
      <c r="C21" s="0" t="str">
        <f aca="false">IF(ABS(B20-B21)&lt;10^-7, "стоп","продолжай")</f>
        <v>продолжай</v>
      </c>
    </row>
    <row r="22" customFormat="false" ht="14.35" hidden="false" customHeight="false" outlineLevel="0" collapsed="false">
      <c r="A22" s="0" t="s">
        <v>9</v>
      </c>
      <c r="B22" s="1" t="n">
        <f aca="false">B21-(COS(2*B21)-(3*B21^2)-1)/(-2*SIN(2*B21)-6*B21)</f>
        <v>0.00373729124410414</v>
      </c>
      <c r="C22" s="0" t="str">
        <f aca="false">IF(ABS(B21-B22)&lt;10^-7, "стоп","продолжай")</f>
        <v>продолжай</v>
      </c>
    </row>
    <row r="23" customFormat="false" ht="14.35" hidden="false" customHeight="false" outlineLevel="0" collapsed="false">
      <c r="A23" s="0" t="s">
        <v>10</v>
      </c>
      <c r="B23" s="1" t="n">
        <f aca="false">B22-(COS(2*B22)-(3*B22^2)-1)/(-2*SIN(2*B22)-6*B22)</f>
        <v>0.00186864214204902</v>
      </c>
      <c r="C23" s="0" t="str">
        <f aca="false">IF(ABS(B22-B23)&lt;10^-7, "стоп","продолжай")</f>
        <v>продолжай</v>
      </c>
    </row>
    <row r="24" customFormat="false" ht="14.35" hidden="false" customHeight="false" outlineLevel="0" collapsed="false">
      <c r="A24" s="0" t="s">
        <v>11</v>
      </c>
      <c r="B24" s="1" t="n">
        <f aca="false">B23-(COS(2*B23)-(3*B23^2)-1)/(-2*SIN(2*B23)-6*B23)</f>
        <v>0.000934320636027895</v>
      </c>
      <c r="C24" s="2" t="str">
        <f aca="false">IF(ABS(B23-B24)&lt;10^-7, "стоп","продолжай")</f>
        <v>продолжай</v>
      </c>
    </row>
    <row r="25" customFormat="false" ht="14.35" hidden="false" customHeight="false" outlineLevel="0" collapsed="false">
      <c r="A25" s="0" t="s">
        <v>12</v>
      </c>
      <c r="B25" s="1" t="n">
        <f aca="false">B24-(COS(2*B24)-(3*B24^2)-1)/(-2*SIN(2*B24)-6*B24)</f>
        <v>0.000467160263637208</v>
      </c>
      <c r="C25" s="2" t="str">
        <f aca="false">IF(ABS(B24-B25)&lt;10^-7, "стоп","продолжай")</f>
        <v>продолжай</v>
      </c>
    </row>
    <row r="26" customFormat="false" ht="14.35" hidden="false" customHeight="false" outlineLevel="0" collapsed="false">
      <c r="A26" s="0" t="s">
        <v>13</v>
      </c>
      <c r="B26" s="1" t="n">
        <f aca="false">B25-(COS(2*B25)-(3*B25^2)-1)/(-2*SIN(2*B25)-6*B25)</f>
        <v>0.000233580125018954</v>
      </c>
      <c r="C26" s="2" t="str">
        <f aca="false">IF(ABS(B25-B26)&lt;10^-7, "стоп","продолжай")</f>
        <v>продолжай</v>
      </c>
    </row>
    <row r="27" customFormat="false" ht="14.35" hidden="false" customHeight="false" outlineLevel="0" collapsed="false">
      <c r="A27" s="0" t="s">
        <v>14</v>
      </c>
      <c r="B27" s="1" t="n">
        <f aca="false">B26-(COS(2*B26)-(3*B26^2)-1)/(-2*SIN(2*B26)-6*B26)</f>
        <v>0.000116790061625975</v>
      </c>
      <c r="C27" s="2" t="str">
        <f aca="false">IF(ABS(B26-B27)&lt;10^-7, "стоп","продолжай")</f>
        <v>продолжай</v>
      </c>
    </row>
    <row r="28" customFormat="false" ht="14.35" hidden="false" customHeight="false" outlineLevel="0" collapsed="false">
      <c r="A28" s="0" t="s">
        <v>15</v>
      </c>
      <c r="B28" s="1" t="n">
        <f aca="false">B27-(COS(2*B27)-(3*B27^2)-1)/(-2*SIN(2*B27)-6*B27)</f>
        <v>5.83950307428361E-005</v>
      </c>
      <c r="C28" s="2" t="str">
        <f aca="false">IF(ABS(B27-B28)&lt;10^-7, "стоп","продолжай")</f>
        <v>продолжай</v>
      </c>
    </row>
    <row r="29" customFormat="false" ht="14.35" hidden="false" customHeight="false" outlineLevel="0" collapsed="false">
      <c r="A29" s="0" t="s">
        <v>16</v>
      </c>
      <c r="B29" s="1" t="n">
        <f aca="false">B28-(COS(2*B28)-(3*B28^2)-1)/(-2*SIN(2*B28)-6*B28)</f>
        <v>2.91975152032495E-005</v>
      </c>
      <c r="C29" s="2" t="str">
        <f aca="false">IF(ABS(B28-B29)&lt;10^-7, "стоп","продолжай")</f>
        <v>продолжай</v>
      </c>
    </row>
    <row r="30" customFormat="false" ht="14.35" hidden="false" customHeight="false" outlineLevel="0" collapsed="false">
      <c r="A30" s="0" t="s">
        <v>17</v>
      </c>
      <c r="B30" s="1" t="n">
        <f aca="false">B29-(COS(2*B29)-(3*B29^2)-1)/(-2*SIN(2*B29)-6*B29)</f>
        <v>1.4598757549451E-005</v>
      </c>
      <c r="C30" s="2" t="str">
        <f aca="false">IF(ABS(B29-B30)&lt;10^-7, "стоп","продолжай")</f>
        <v>продолжай</v>
      </c>
    </row>
    <row r="31" customFormat="false" ht="14.35" hidden="false" customHeight="false" outlineLevel="0" collapsed="false">
      <c r="A31" s="0" t="s">
        <v>18</v>
      </c>
      <c r="B31" s="1" t="n">
        <f aca="false">B30-(COS(2*B30)-(3*B30^2)-1)/(-2*SIN(2*B30)-6*B30)</f>
        <v>7.29937888783225E-006</v>
      </c>
      <c r="C31" s="2" t="str">
        <f aca="false">IF(ABS(B30-B31)&lt;10^-7, "стоп","продолжай")</f>
        <v>продолжай</v>
      </c>
    </row>
    <row r="32" customFormat="false" ht="14.35" hidden="false" customHeight="false" outlineLevel="0" collapsed="false">
      <c r="A32" s="0" t="s">
        <v>19</v>
      </c>
      <c r="B32" s="1" t="n">
        <f aca="false">B31-(COS(2*B31)-(3*B31^2)-1)/(-2*SIN(2*B31)-6*B31)</f>
        <v>3.64968923348611E-006</v>
      </c>
      <c r="C32" s="2" t="str">
        <f aca="false">IF(ABS(B31-B32)&lt;10^-7, "стоп","продолжай")</f>
        <v>продолжай</v>
      </c>
    </row>
    <row r="33" customFormat="false" ht="14.35" hidden="false" customHeight="false" outlineLevel="0" collapsed="false">
      <c r="A33" s="0" t="s">
        <v>20</v>
      </c>
      <c r="B33" s="1" t="n">
        <f aca="false">B32-(COS(2*B32)-(3*B32^2)-1)/(-2*SIN(2*B32)-6*B32)</f>
        <v>1.82484430111748E-006</v>
      </c>
      <c r="C33" s="2" t="str">
        <f aca="false">IF(ABS(B32-B33)&lt;10^-7, "стоп","продолжай")</f>
        <v>продолжай</v>
      </c>
    </row>
    <row r="34" customFormat="false" ht="14.35" hidden="false" customHeight="false" outlineLevel="0" collapsed="false">
      <c r="A34" s="0" t="s">
        <v>21</v>
      </c>
      <c r="B34" s="1" t="n">
        <f aca="false">B33-(COS(2*B33)-(3*B33^2)-1)/(-2*SIN(2*B33)-6*B33)</f>
        <v>9.12424719089184E-007</v>
      </c>
      <c r="C34" s="2" t="str">
        <f aca="false">IF(ABS(B33-B34)&lt;10^-7, "стоп","продолжай")</f>
        <v>продолжай</v>
      </c>
    </row>
    <row r="35" customFormat="false" ht="14.35" hidden="false" customHeight="false" outlineLevel="0" collapsed="false">
      <c r="A35" s="0" t="s">
        <v>22</v>
      </c>
      <c r="B35" s="1" t="n">
        <f aca="false">B34-(COS(2*B34)-(3*B34^2)-1)/(-2*SIN(2*B34)-6*B34)</f>
        <v>4.56216212333334E-007</v>
      </c>
      <c r="C35" s="2" t="str">
        <f aca="false">IF(ABS(B34-B35)&lt;10^-7, "стоп","продолжай")</f>
        <v>продолжай</v>
      </c>
    </row>
    <row r="36" customFormat="false" ht="14.35" hidden="false" customHeight="false" outlineLevel="0" collapsed="false">
      <c r="A36" s="0" t="s">
        <v>23</v>
      </c>
      <c r="B36" s="1" t="n">
        <f aca="false">B35-(COS(2*B35)-(3*B35^2)-1)/(-2*SIN(2*B35)-6*B35)</f>
        <v>2.28119969181656E-007</v>
      </c>
      <c r="C36" s="2" t="str">
        <f aca="false">IF(ABS(B35-B36)&lt;10^-7, "стоп","продолжай")</f>
        <v>продолжай</v>
      </c>
    </row>
    <row r="37" customFormat="false" ht="14.35" hidden="false" customHeight="false" outlineLevel="0" collapsed="false">
      <c r="A37" s="0" t="s">
        <v>24</v>
      </c>
      <c r="B37" s="1" t="n">
        <f aca="false">B36-(COS(2*B36)-(3*B36^2)-1)/(-2*SIN(2*B36)-6*B36)</f>
        <v>1.14089945592386E-007</v>
      </c>
      <c r="C37" s="2" t="str">
        <f aca="false">IF(ABS(B36-B37)&lt;10^-7, "стоп","продолжай")</f>
        <v>продолжай</v>
      </c>
    </row>
    <row r="38" customFormat="false" ht="14.35" hidden="false" customHeight="false" outlineLevel="0" collapsed="false">
      <c r="A38" s="0" t="s">
        <v>25</v>
      </c>
      <c r="B38" s="1" t="n">
        <f aca="false">B37-(COS(2*B37)-(3*B37^2)-1)/(-2*SIN(2*B37)-6*B37)</f>
        <v>5.70655786289084E-008</v>
      </c>
      <c r="C38" s="2" t="str">
        <f aca="false">IF(ABS(B37-B38)&lt;10^-7, "стоп","продолжай")</f>
        <v>стоп</v>
      </c>
    </row>
    <row r="39" customFormat="false" ht="14.35" hidden="false" customHeight="false" outlineLevel="0" collapsed="false">
      <c r="A39" s="0" t="s">
        <v>26</v>
      </c>
      <c r="B39" s="1" t="n">
        <f aca="false">B38-(COS(2*B38)-(3*B38^2)-1)/(-2*SIN(2*B38)-6*B38)</f>
        <v>2.84664145546792E-008</v>
      </c>
      <c r="C39" s="2" t="str">
        <f aca="false">IF(ABS(B38-B39)&lt;10^-7, "стоп","продолжай")</f>
        <v>стоп</v>
      </c>
    </row>
    <row r="44" customFormat="false" ht="14.35" hidden="false" customHeight="false" outlineLevel="0" collapsed="false">
      <c r="A44" s="0" t="s">
        <v>27</v>
      </c>
    </row>
    <row r="45" customFormat="false" ht="14.35" hidden="false" customHeight="false" outlineLevel="0" collapsed="false">
      <c r="A45" s="0" t="s">
        <v>0</v>
      </c>
      <c r="B45" s="0" t="n">
        <v>0.75</v>
      </c>
      <c r="E45" s="0" t="s">
        <v>0</v>
      </c>
      <c r="F45" s="0" t="n">
        <v>-1.75</v>
      </c>
    </row>
    <row r="46" customFormat="false" ht="14.35" hidden="false" customHeight="false" outlineLevel="0" collapsed="false">
      <c r="A46" s="0" t="s">
        <v>1</v>
      </c>
      <c r="B46" s="0" t="n">
        <f aca="false">B45-(B45+2-5^B45)/(1-LN(5)*5^B45)</f>
        <v>0.614497492945332</v>
      </c>
      <c r="C46" s="0" t="str">
        <f aca="false">IF(ABS(B45-B46)&lt;10^-7, "стоп","продолжай")</f>
        <v>продолжай</v>
      </c>
      <c r="E46" s="0" t="s">
        <v>1</v>
      </c>
      <c r="F46" s="0" t="n">
        <f aca="false">F45-(F45+2-5^F45)/(1-LN(5)*5^F45)</f>
        <v>-1.96044491598197</v>
      </c>
      <c r="G46" s="0" t="str">
        <f aca="false">IF(ABS(F45-F46)&lt;10^-7, "стоп","продолжай")</f>
        <v>продолжай</v>
      </c>
    </row>
    <row r="47" customFormat="false" ht="14.35" hidden="false" customHeight="false" outlineLevel="0" collapsed="false">
      <c r="A47" s="0" t="s">
        <v>2</v>
      </c>
      <c r="B47" s="0" t="n">
        <f aca="false">B46-(B46+2-5^B46)/(1-LN(5)*5^B46)</f>
        <v>0.592244841302319</v>
      </c>
      <c r="C47" s="0" t="str">
        <f aca="false">IF(ABS(B46-B47)&lt;10^-7, "стоп","продолжай")</f>
        <v>продолжай</v>
      </c>
      <c r="E47" s="0" t="s">
        <v>2</v>
      </c>
      <c r="F47" s="0" t="n">
        <f aca="false">F46-(F46+2-5^F46)/(1-LN(5)*5^F46)</f>
        <v>-1.95714428507064</v>
      </c>
      <c r="G47" s="0" t="str">
        <f aca="false">IF(ABS(F46-F47)&lt;10^-7, "стоп","продолжай")</f>
        <v>продолжай</v>
      </c>
    </row>
    <row r="48" customFormat="false" ht="14.35" hidden="false" customHeight="false" outlineLevel="0" collapsed="false">
      <c r="A48" s="0" t="s">
        <v>3</v>
      </c>
      <c r="B48" s="0" t="n">
        <f aca="false">B47-(B47+2-5^B47)/(1-LN(5)*5^B47)</f>
        <v>0.591708165721948</v>
      </c>
      <c r="C48" s="0" t="str">
        <f aca="false">IF(ABS(B47-B48)&lt;10^-7, "стоп","продолжай")</f>
        <v>продолжай</v>
      </c>
      <c r="E48" s="0" t="s">
        <v>3</v>
      </c>
      <c r="F48" s="0" t="n">
        <f aca="false">F47-(F47+2-5^F47)/(1-LN(5)*5^F47)</f>
        <v>-1.95714363788629</v>
      </c>
      <c r="G48" s="0" t="str">
        <f aca="false">IF(ABS(F47-F48)&lt;10^-7, "стоп","продолжай")</f>
        <v>продолжай</v>
      </c>
    </row>
    <row r="49" customFormat="false" ht="14.35" hidden="false" customHeight="false" outlineLevel="0" collapsed="false">
      <c r="A49" s="0" t="s">
        <v>4</v>
      </c>
      <c r="B49" s="0" t="n">
        <f aca="false">B48-(B48+2-5^B48)/(1-LN(5)*5^B48)</f>
        <v>0.59170786068283</v>
      </c>
      <c r="C49" s="0" t="str">
        <f aca="false">IF(ABS(B48-B49)&lt;10^-7, "стоп","продолжай")</f>
        <v>продолжай</v>
      </c>
      <c r="E49" s="0" t="s">
        <v>4</v>
      </c>
      <c r="F49" s="0" t="n">
        <f aca="false">F48-(F48+2-5^F48)/(1-LN(5)*5^F48)</f>
        <v>-1.95714363788626</v>
      </c>
      <c r="G49" s="0" t="str">
        <f aca="false">IF(ABS(F48-F49)&lt;10^-7, "стоп","продолжай")</f>
        <v>стоп</v>
      </c>
    </row>
    <row r="50" customFormat="false" ht="14.35" hidden="false" customHeight="false" outlineLevel="0" collapsed="false">
      <c r="A50" s="0" t="s">
        <v>6</v>
      </c>
      <c r="B50" s="0" t="n">
        <f aca="false">B49-(B49+2-5^B49)/(1-LN(5)*5^B49)</f>
        <v>0.591707860682731</v>
      </c>
      <c r="C50" s="0" t="str">
        <f aca="false">IF(ABS(B49-B50)&lt;10^-7, "стоп","продолжай")</f>
        <v>стоп</v>
      </c>
    </row>
    <row r="52" customFormat="false" ht="14.35" hidden="false" customHeight="false" outlineLevel="0" collapsed="false">
      <c r="A52" s="0" t="s">
        <v>28</v>
      </c>
    </row>
    <row r="53" customFormat="false" ht="14.35" hidden="false" customHeight="false" outlineLevel="0" collapsed="false">
      <c r="A53" s="0" t="s">
        <v>0</v>
      </c>
      <c r="B53" s="0" t="n">
        <v>0.25</v>
      </c>
      <c r="E53" s="0" t="s">
        <v>0</v>
      </c>
      <c r="F53" s="0" t="n">
        <v>1.25</v>
      </c>
    </row>
    <row r="54" customFormat="false" ht="14.35" hidden="false" customHeight="false" outlineLevel="0" collapsed="false">
      <c r="A54" s="0" t="s">
        <v>1</v>
      </c>
      <c r="B54" s="0" t="n">
        <f aca="false">B53-(B53^4+3*B53^2-6*B53+1)/(4*B53^3+6*B53-6)</f>
        <v>0.180457746478873</v>
      </c>
      <c r="C54" s="2" t="str">
        <f aca="false">IF(ABS(B53-B54)&lt;10^-7, "стоп","продолжай")</f>
        <v>продолжай</v>
      </c>
      <c r="E54" s="0" t="s">
        <v>1</v>
      </c>
      <c r="F54" s="0" t="n">
        <f aca="false">F53-(F53^4+3*F53^2-6*F53+1)/(4*F53^3+6*F53-6)</f>
        <v>1.18246644295302</v>
      </c>
      <c r="G54" s="0" t="str">
        <f aca="false">IF(ABS(F53-F54)&lt;10^-7, "стоп","продолжай")</f>
        <v>продолжай</v>
      </c>
    </row>
    <row r="55" customFormat="false" ht="14.35" hidden="false" customHeight="false" outlineLevel="0" collapsed="false">
      <c r="A55" s="0" t="s">
        <v>2</v>
      </c>
      <c r="B55" s="0" t="n">
        <f aca="false">B54-(B54^4+3*B54^2-6*B54+1)/(4*B54^3+6*B54-6)</f>
        <v>0.18372906285798</v>
      </c>
      <c r="C55" s="2" t="str">
        <f aca="false">IF(ABS(B54-B55)&lt;10^-7, "стоп","продолжай")</f>
        <v>продолжай</v>
      </c>
      <c r="E55" s="0" t="s">
        <v>2</v>
      </c>
      <c r="F55" s="0" t="n">
        <f aca="false">F54-(F54^4+3*F54^2-6*F54+1)/(4*F54^3+6*F54-6)</f>
        <v>1.17534152811085</v>
      </c>
      <c r="G55" s="0" t="str">
        <f aca="false">IF(ABS(F54-F55)&lt;10^-7, "стоп","продолжай")</f>
        <v>продолжай</v>
      </c>
    </row>
    <row r="56" customFormat="false" ht="14.35" hidden="false" customHeight="false" outlineLevel="0" collapsed="false">
      <c r="A56" s="0" t="s">
        <v>3</v>
      </c>
      <c r="B56" s="0" t="n">
        <f aca="false">B55-(B55^4+3*B55^2-6*B55+1)/(4*B55^3+6*B55-6)</f>
        <v>0.183736085670741</v>
      </c>
      <c r="C56" s="2" t="str">
        <f aca="false">IF(ABS(B55-B56)&lt;10^-7, "стоп","продолжай")</f>
        <v>продолжай</v>
      </c>
      <c r="E56" s="0" t="s">
        <v>3</v>
      </c>
      <c r="F56" s="0" t="n">
        <f aca="false">F55-(F55^4+3*F55^2-6*F55+1)/(4*F55^3+6*F55-6)</f>
        <v>1.1752651410638</v>
      </c>
      <c r="G56" s="0" t="str">
        <f aca="false">IF(ABS(F55-F56)&lt;10^-7, "стоп","продолжай")</f>
        <v>продолжай</v>
      </c>
    </row>
    <row r="57" customFormat="false" ht="14.35" hidden="false" customHeight="false" outlineLevel="0" collapsed="false">
      <c r="A57" s="0" t="s">
        <v>4</v>
      </c>
      <c r="B57" s="0" t="n">
        <f aca="false">B56-(B56^4+3*B56^2-6*B56+1)/(4*B56^3+6*B56-6)</f>
        <v>0.183736085703155</v>
      </c>
      <c r="C57" s="2" t="str">
        <f aca="false">IF(ABS(B56-B57)&lt;10^-7, "стоп","продолжай")</f>
        <v>стоп</v>
      </c>
      <c r="E57" s="0" t="s">
        <v>4</v>
      </c>
      <c r="F57" s="0" t="n">
        <f aca="false">F56-(F56^4+3*F56^2-6*F56+1)/(4*F56^3+6*F56-6)</f>
        <v>1.17526513233389</v>
      </c>
      <c r="G57" s="0" t="str">
        <f aca="false">IF(ABS(F56-F57)&lt;10^-7, "стоп","продолжай")</f>
        <v>стоп</v>
      </c>
    </row>
    <row r="58" customFormat="false" ht="14.35" hidden="false" customHeight="false" outlineLevel="0" collapsed="false">
      <c r="C58" s="2"/>
    </row>
    <row r="59" customFormat="false" ht="14.35" hidden="false" customHeight="false" outlineLevel="0" collapsed="false">
      <c r="C5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Serif,Обычный"&amp;12&amp;A</oddHeader>
    <oddFooter>&amp;C&amp;"DejaVu Serif,Обычный"&amp;12Страница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1.23046875" defaultRowHeight="14.35" zeroHeight="false" outlineLevelRow="0" outlineLevelCol="0"/>
  <cols>
    <col collapsed="false" customWidth="true" hidden="false" outlineLevel="0" max="2" min="2" style="0" width="18.74"/>
    <col collapsed="false" customWidth="true" hidden="false" outlineLevel="0" max="3" min="3" style="0" width="19.42"/>
    <col collapsed="false" customWidth="true" hidden="false" outlineLevel="0" max="4" min="4" style="0" width="19.83"/>
  </cols>
  <sheetData>
    <row r="1" customFormat="false" ht="14.35" hidden="false" customHeight="false" outlineLevel="0" collapsed="false">
      <c r="C1" s="0" t="s">
        <v>29</v>
      </c>
    </row>
    <row r="2" customFormat="false" ht="14.35" hidden="false" customHeight="false" outlineLevel="0" collapsed="false">
      <c r="A2" s="0" t="s">
        <v>0</v>
      </c>
      <c r="B2" s="0" t="n">
        <v>0.5</v>
      </c>
      <c r="C2" s="0" t="n">
        <f aca="false">4*(1-B2^2)-EXP(B2)</f>
        <v>1.35127872929987</v>
      </c>
    </row>
    <row r="3" customFormat="false" ht="14.35" hidden="false" customHeight="false" outlineLevel="0" collapsed="false">
      <c r="A3" s="0" t="s">
        <v>1</v>
      </c>
      <c r="B3" s="0" t="n">
        <v>0.75</v>
      </c>
      <c r="C3" s="0" t="n">
        <f aca="false">4*(1-B3^2)-EXP(B3)</f>
        <v>-0.367000016612675</v>
      </c>
    </row>
    <row r="4" customFormat="false" ht="14.35" hidden="false" customHeight="false" outlineLevel="0" collapsed="false">
      <c r="A4" s="0" t="s">
        <v>2</v>
      </c>
      <c r="B4" s="0" t="n">
        <f aca="false">B3-C3*(B3-B2)/(C3-C2)</f>
        <v>0.696603538936029</v>
      </c>
      <c r="C4" s="0" t="n">
        <f aca="false">4*(1-B4^2)-EXP(B4)</f>
        <v>0.0520493612262154</v>
      </c>
      <c r="D4" s="0" t="str">
        <f aca="false">IF(ABS(B4-B3)&lt;10^-7, "стоп","продолжай")</f>
        <v>продолжай</v>
      </c>
    </row>
    <row r="5" customFormat="false" ht="14.35" hidden="false" customHeight="false" outlineLevel="0" collapsed="false">
      <c r="A5" s="0" t="s">
        <v>3</v>
      </c>
      <c r="B5" s="0" t="n">
        <f aca="false">B4-C4*(B4-B3)/(C4-C3)</f>
        <v>0.7032358162692</v>
      </c>
      <c r="C5" s="0" t="n">
        <f aca="false">4*(1-B5^2)-EXP(B5)</f>
        <v>0.0015581517350709</v>
      </c>
      <c r="D5" s="0" t="str">
        <f aca="false">IF(ABS(B5-B4)&lt;10^-7, "стоп","продолжай")</f>
        <v>продолжай</v>
      </c>
    </row>
    <row r="6" customFormat="false" ht="14.35" hidden="false" customHeight="false" outlineLevel="0" collapsed="false">
      <c r="A6" s="0" t="s">
        <v>4</v>
      </c>
      <c r="B6" s="0" t="n">
        <f aca="false">B5-C5*(B5-B4)/(C5-C4)</f>
        <v>0.703440487429552</v>
      </c>
      <c r="C6" s="0" t="n">
        <f aca="false">4*(1-B6^2)-EXP(B6)</f>
        <v>-7.0077961664694E-006</v>
      </c>
      <c r="D6" s="0" t="str">
        <f aca="false">IF(ABS(B6-B5)&lt;10^-7, "стоп","продолжай")</f>
        <v>продолжай</v>
      </c>
    </row>
    <row r="7" customFormat="false" ht="14.35" hidden="false" customHeight="false" outlineLevel="0" collapsed="false">
      <c r="A7" s="0" t="s">
        <v>6</v>
      </c>
      <c r="B7" s="0" t="n">
        <f aca="false">B6-C6*(B6-B5)/(C6-C5)</f>
        <v>0.703439571041322</v>
      </c>
      <c r="C7" s="0" t="n">
        <f aca="false">4*(1-B7^2)-EXP(B7)</f>
        <v>9.35512112221204E-010</v>
      </c>
      <c r="D7" s="0" t="str">
        <f aca="false">IF(ABS(B7-B6)&lt;10^-7, "стоп","продолжай")</f>
        <v>продолжай</v>
      </c>
    </row>
    <row r="8" customFormat="false" ht="14.35" hidden="false" customHeight="false" outlineLevel="0" collapsed="false">
      <c r="A8" s="0" t="s">
        <v>7</v>
      </c>
      <c r="B8" s="0" t="n">
        <f aca="false">B7-C7*(B7-B6)/(C7-C6)</f>
        <v>0.703439571163639</v>
      </c>
      <c r="C8" s="0" t="n">
        <f aca="false">4*(1-B8^2)-EXP(B8)</f>
        <v>0</v>
      </c>
      <c r="D8" s="0" t="str">
        <f aca="false">IF(ABS(B8-B7)&lt;10^-7, "стоп","продолжай")</f>
        <v>стоп</v>
      </c>
    </row>
    <row r="10" customFormat="false" ht="14.35" hidden="false" customHeight="false" outlineLevel="0" collapsed="false">
      <c r="A10" s="0" t="s">
        <v>5</v>
      </c>
    </row>
    <row r="11" customFormat="false" ht="14.35" hidden="false" customHeight="false" outlineLevel="0" collapsed="false">
      <c r="A11" s="0" t="s">
        <v>0</v>
      </c>
      <c r="B11" s="0" t="n">
        <v>0</v>
      </c>
      <c r="C11" s="0" t="n">
        <f aca="false">B11^3+B11-1</f>
        <v>-1</v>
      </c>
    </row>
    <row r="12" customFormat="false" ht="14.35" hidden="false" customHeight="false" outlineLevel="0" collapsed="false">
      <c r="A12" s="0" t="s">
        <v>1</v>
      </c>
      <c r="B12" s="0" t="n">
        <v>1.25</v>
      </c>
      <c r="C12" s="0" t="n">
        <f aca="false">B12^3+B12-1</f>
        <v>2.203125</v>
      </c>
    </row>
    <row r="13" customFormat="false" ht="14.35" hidden="false" customHeight="false" outlineLevel="0" collapsed="false">
      <c r="A13" s="0" t="s">
        <v>2</v>
      </c>
      <c r="B13" s="0" t="n">
        <f aca="false">B12-C12*(B12-B11)/(C12-C11)</f>
        <v>0.390243902439024</v>
      </c>
      <c r="C13" s="0" t="n">
        <f aca="false">B13^3+B13-1</f>
        <v>-0.550325735262112</v>
      </c>
      <c r="D13" s="0" t="str">
        <f aca="false">IF(ABS(B13-B12)&lt;10^-7, "стоп","продолжай")</f>
        <v>продолжай</v>
      </c>
    </row>
    <row r="14" customFormat="false" ht="14.35" hidden="false" customHeight="false" outlineLevel="0" collapsed="false">
      <c r="A14" s="0" t="s">
        <v>3</v>
      </c>
      <c r="B14" s="0" t="n">
        <f aca="false">B13-C13*(B13-B12)/(C13-C12)</f>
        <v>0.562081335546862</v>
      </c>
      <c r="C14" s="0" t="n">
        <f aca="false">B14^3+B14-1</f>
        <v>-0.260337257265527</v>
      </c>
      <c r="D14" s="0" t="str">
        <f aca="false">IF(ABS(B14-B13)&lt;10^-7, "стоп","продолжай")</f>
        <v>продолжай</v>
      </c>
    </row>
    <row r="15" customFormat="false" ht="14.35" hidden="false" customHeight="false" outlineLevel="0" collapsed="false">
      <c r="A15" s="0" t="s">
        <v>4</v>
      </c>
      <c r="B15" s="0" t="n">
        <f aca="false">B14-C14*(B14-B13)/(C14-C13)</f>
        <v>0.716348451054015</v>
      </c>
      <c r="C15" s="0" t="n">
        <f aca="false">B15^3+B15-1</f>
        <v>0.0839463144731238</v>
      </c>
      <c r="D15" s="0" t="str">
        <f aca="false">IF(ABS(B15-B14)&lt;10^-7, "стоп","продолжай")</f>
        <v>продолжай</v>
      </c>
    </row>
    <row r="16" customFormat="false" ht="14.35" hidden="false" customHeight="false" outlineLevel="0" collapsed="false">
      <c r="A16" s="0" t="s">
        <v>6</v>
      </c>
      <c r="B16" s="0" t="n">
        <f aca="false">B15-C15*(B15-B14)/(C15-C14)</f>
        <v>0.678733656581464</v>
      </c>
      <c r="C16" s="0" t="n">
        <f aca="false">B16^3+B16-1</f>
        <v>-0.00858774564313647</v>
      </c>
      <c r="D16" s="0" t="str">
        <f aca="false">IF(ABS(B16-B15)&lt;10^-7, "стоп","продолжай")</f>
        <v>продолжай</v>
      </c>
    </row>
    <row r="17" customFormat="false" ht="14.35" hidden="false" customHeight="false" outlineLevel="0" collapsed="false">
      <c r="A17" s="0" t="s">
        <v>7</v>
      </c>
      <c r="B17" s="0" t="n">
        <f aca="false">B16-C16*(B16-B15)/(C16-C15)</f>
        <v>0.682224547253972</v>
      </c>
      <c r="C17" s="0" t="n">
        <f aca="false">B17^3+B17-1</f>
        <v>-0.00024745462151099</v>
      </c>
      <c r="D17" s="0" t="str">
        <f aca="false">IF(ABS(B17-B16)&lt;10^-7, "стоп","продолжай")</f>
        <v>продолжай</v>
      </c>
    </row>
    <row r="18" customFormat="false" ht="14.35" hidden="false" customHeight="false" outlineLevel="0" collapsed="false">
      <c r="A18" s="0" t="s">
        <v>9</v>
      </c>
      <c r="B18" s="0" t="n">
        <f aca="false">B17-C17*(B17-B16)/(C17-C16)</f>
        <v>0.682328121221338</v>
      </c>
      <c r="C18" s="0" t="n">
        <f aca="false">B18^3+B18-1</f>
        <v>7.60701120761098E-007</v>
      </c>
      <c r="D18" s="0" t="str">
        <f aca="false">IF(ABS(B18-B17)&lt;10^-7, "стоп","продолжай")</f>
        <v>продолжай</v>
      </c>
    </row>
    <row r="19" customFormat="false" ht="14.35" hidden="false" customHeight="false" outlineLevel="0" collapsed="false">
      <c r="A19" s="0" t="s">
        <v>10</v>
      </c>
      <c r="B19" s="0" t="n">
        <f aca="false">B18-C18*(B18-B17)/(C18-C17)</f>
        <v>0.682327803800028</v>
      </c>
      <c r="C19" s="0" t="n">
        <f aca="false">B19^3+B19-1</f>
        <v>-6.7088334887444E-011</v>
      </c>
      <c r="D19" s="0" t="str">
        <f aca="false">IF(ABS(B19-B18)&lt;10^-7, "стоп","продолжай")</f>
        <v>продолжай</v>
      </c>
    </row>
    <row r="20" customFormat="false" ht="14.35" hidden="false" customHeight="false" outlineLevel="0" collapsed="false">
      <c r="A20" s="0" t="s">
        <v>11</v>
      </c>
      <c r="B20" s="0" t="n">
        <f aca="false">B19-C19*(B19-B18)/(C19-C18)</f>
        <v>0.682327803828019</v>
      </c>
      <c r="C20" s="0" t="n">
        <f aca="false">B20^3+B20-1</f>
        <v>0</v>
      </c>
      <c r="D20" s="0" t="str">
        <f aca="false">IF(ABS(B20-B19)&lt;10^-7, "стоп","продолжай")</f>
        <v>стоп</v>
      </c>
    </row>
    <row r="21" customFormat="false" ht="14.35" hidden="false" customHeight="false" outlineLevel="0" collapsed="false">
      <c r="A21" s="0" t="s">
        <v>8</v>
      </c>
    </row>
    <row r="22" customFormat="false" ht="14.35" hidden="false" customHeight="false" outlineLevel="0" collapsed="false">
      <c r="A22" s="0" t="s">
        <v>0</v>
      </c>
      <c r="B22" s="0" t="n">
        <v>-0.5</v>
      </c>
      <c r="C22" s="0" t="n">
        <f aca="false">COS(2*(B22))-3*(B22)^2-1</f>
        <v>-1.20969769413186</v>
      </c>
    </row>
    <row r="23" customFormat="false" ht="14.35" hidden="false" customHeight="false" outlineLevel="0" collapsed="false">
      <c r="A23" s="0" t="s">
        <v>1</v>
      </c>
      <c r="B23" s="0" t="n">
        <v>0.5</v>
      </c>
      <c r="C23" s="0" t="n">
        <f aca="false">COS(2*B23)-3*B23^2-1</f>
        <v>-1.20969769413186</v>
      </c>
    </row>
    <row r="24" customFormat="false" ht="14.35" hidden="false" customHeight="false" outlineLevel="0" collapsed="false">
      <c r="A24" s="0" t="s">
        <v>2</v>
      </c>
      <c r="B24" s="0" t="e">
        <f aca="false">B23-C23*(B23-B22)/(C23-C22)</f>
        <v>#DIV/0!</v>
      </c>
    </row>
    <row r="25" customFormat="false" ht="14.35" hidden="false" customHeight="false" outlineLevel="0" collapsed="false">
      <c r="A25" s="0" t="s">
        <v>30</v>
      </c>
    </row>
    <row r="26" customFormat="false" ht="14.35" hidden="false" customHeight="false" outlineLevel="0" collapsed="false">
      <c r="A26" s="0" t="s">
        <v>0</v>
      </c>
      <c r="B26" s="0" t="n">
        <v>-2</v>
      </c>
      <c r="C26" s="0" t="n">
        <f aca="false">B26+2-5^B26</f>
        <v>-0.04</v>
      </c>
      <c r="E26" s="0" t="s">
        <v>0</v>
      </c>
      <c r="F26" s="0" t="n">
        <v>0.5</v>
      </c>
      <c r="G26" s="0" t="n">
        <f aca="false">F26+2-5^F26</f>
        <v>0.26393202250021</v>
      </c>
    </row>
    <row r="27" customFormat="false" ht="14.35" hidden="false" customHeight="false" outlineLevel="0" collapsed="false">
      <c r="A27" s="0" t="s">
        <v>1</v>
      </c>
      <c r="B27" s="0" t="n">
        <v>-1.75</v>
      </c>
      <c r="C27" s="0" t="n">
        <f aca="false">B27+2-5^B27</f>
        <v>0.190186048751151</v>
      </c>
      <c r="E27" s="0" t="s">
        <v>1</v>
      </c>
      <c r="F27" s="0" t="n">
        <v>0.75</v>
      </c>
      <c r="G27" s="0" t="n">
        <f aca="false">F27+2-5^F27</f>
        <v>-0.59370152488211</v>
      </c>
    </row>
    <row r="28" customFormat="false" ht="14.35" hidden="false" customHeight="false" outlineLevel="0" collapsed="false">
      <c r="A28" s="0" t="s">
        <v>2</v>
      </c>
      <c r="B28" s="0" t="n">
        <f aca="false">B27-C27*(B27-B26)/(C27-C26)</f>
        <v>-1.95655688060048</v>
      </c>
      <c r="C28" s="0" t="n">
        <f aca="false">B28+2-5^B28</f>
        <v>0.000546266789450599</v>
      </c>
      <c r="D28" s="0" t="str">
        <f aca="false">IF(ABS(B28-B27)&lt;10^-7, "стоп","продолжай")</f>
        <v>продолжай</v>
      </c>
      <c r="E28" s="0" t="s">
        <v>2</v>
      </c>
      <c r="F28" s="0" t="n">
        <f aca="false">F27-G27*(F27-F26)/(G27-G26)</f>
        <v>0.576936129453479</v>
      </c>
      <c r="G28" s="0" t="n">
        <f aca="false">F28+2-5^F28</f>
        <v>0.0461173470393712</v>
      </c>
      <c r="H28" s="0" t="str">
        <f aca="false">IF(ABS(F28-F27)&lt;10^-7, "стоп","продолжай")</f>
        <v>продолжай</v>
      </c>
    </row>
    <row r="29" customFormat="false" ht="14.35" hidden="false" customHeight="false" outlineLevel="0" collapsed="false">
      <c r="A29" s="0" t="s">
        <v>3</v>
      </c>
      <c r="B29" s="0" t="n">
        <f aca="false">B28-C28*(B28-B27)/(C28-C27)</f>
        <v>-1.95715187793088</v>
      </c>
      <c r="C29" s="0" t="n">
        <f aca="false">B29+2-5^B29</f>
        <v>-7.67169415709368E-006</v>
      </c>
      <c r="D29" s="0" t="str">
        <f aca="false">IF(ABS(B29-B28)&lt;10^-7, "стоп","продолжай")</f>
        <v>продолжай</v>
      </c>
      <c r="E29" s="0" t="s">
        <v>3</v>
      </c>
      <c r="F29" s="0" t="n">
        <f aca="false">F28-G28*(F28-F27)/(G28-G27)</f>
        <v>0.589410357595581</v>
      </c>
      <c r="G29" s="0" t="n">
        <f aca="false">F29+2-5^F29</f>
        <v>0.00726812918854503</v>
      </c>
      <c r="H29" s="0" t="str">
        <f aca="false">IF(ABS(F29-F28)&lt;10^-7, "стоп","продолжай")</f>
        <v>продолжай</v>
      </c>
    </row>
    <row r="30" customFormat="false" ht="14.35" hidden="false" customHeight="false" outlineLevel="0" collapsed="false">
      <c r="A30" s="0" t="s">
        <v>4</v>
      </c>
      <c r="B30" s="0" t="n">
        <f aca="false">B29-C29*(B29-B28)/(C29-C28)</f>
        <v>-1.95714363759792</v>
      </c>
      <c r="C30" s="0" t="n">
        <f aca="false">B30+2-5^B30</f>
        <v>2.68454966589893E-010</v>
      </c>
      <c r="D30" s="0" t="str">
        <f aca="false">IF(ABS(B30-B29)&lt;10^-7, "стоп","продолжай")</f>
        <v>продолжай</v>
      </c>
      <c r="E30" s="0" t="s">
        <v>4</v>
      </c>
      <c r="F30" s="0" t="n">
        <f aca="false">F29-G29*(F29-F28)/(G29-G28)</f>
        <v>0.591744106038402</v>
      </c>
      <c r="G30" s="0" t="n">
        <f aca="false">F30+2-5^F30</f>
        <v>-0.000114945423946633</v>
      </c>
      <c r="H30" s="0" t="str">
        <f aca="false">IF(ABS(F30-F29)&lt;10^-7, "стоп","продолжай")</f>
        <v>продолжай</v>
      </c>
    </row>
    <row r="31" customFormat="false" ht="14.35" hidden="false" customHeight="false" outlineLevel="0" collapsed="false">
      <c r="A31" s="0" t="s">
        <v>6</v>
      </c>
      <c r="B31" s="0" t="n">
        <f aca="false">B30-C30*(B30-B29)/(C30-C29)</f>
        <v>-1.95714363788626</v>
      </c>
      <c r="C31" s="0" t="n">
        <f aca="false">B31+2-5^B31</f>
        <v>2.08166817117217E-016</v>
      </c>
      <c r="D31" s="0" t="str">
        <f aca="false">IF(ABS(B31-B30)&lt;10^-7, "стоп","продолжай")</f>
        <v>стоп</v>
      </c>
      <c r="E31" s="0" t="s">
        <v>6</v>
      </c>
      <c r="F31" s="0" t="n">
        <f aca="false">F30-G30*(F30-F29)/(G30-G29)</f>
        <v>0.591707772435096</v>
      </c>
      <c r="G31" s="0" t="n">
        <f aca="false">F31+2-5^F31</f>
        <v>2.79850246975855E-007</v>
      </c>
      <c r="H31" s="0" t="str">
        <f aca="false">IF(ABS(F31-F30)&lt;10^-7, "стоп","продолжай")</f>
        <v>продолжай</v>
      </c>
    </row>
    <row r="32" customFormat="false" ht="14.35" hidden="false" customHeight="false" outlineLevel="0" collapsed="false">
      <c r="A32" s="0" t="s">
        <v>7</v>
      </c>
      <c r="B32" s="0" t="n">
        <f aca="false">B31-C31*(B31-B30)/(C31-C30)</f>
        <v>-1.95714363788626</v>
      </c>
      <c r="C32" s="0" t="n">
        <f aca="false">B32+2-5^B32</f>
        <v>0</v>
      </c>
      <c r="D32" s="0" t="str">
        <f aca="false">IF(ABS(B32-B31)&lt;10^-7, "стоп","продолжай")</f>
        <v>стоп</v>
      </c>
      <c r="E32" s="0" t="s">
        <v>7</v>
      </c>
      <c r="F32" s="0" t="n">
        <f aca="false">F31-G31*(F31-F30)/(G31-G30)</f>
        <v>0.591707860679346</v>
      </c>
      <c r="G32" s="0" t="n">
        <f aca="false">F32+2-5^F32</f>
        <v>1.07363007373351E-011</v>
      </c>
      <c r="H32" s="0" t="str">
        <f aca="false">IF(ABS(F32-F31)&lt;10^-7, "стоп","продолжай")</f>
        <v>стоп</v>
      </c>
    </row>
    <row r="33" customFormat="false" ht="14.35" hidden="false" customHeight="false" outlineLevel="0" collapsed="false">
      <c r="E33" s="0" t="s">
        <v>9</v>
      </c>
      <c r="F33" s="0" t="n">
        <f aca="false">F32-G32*(F32-F31)/(G32-G31)</f>
        <v>0.591707860682731</v>
      </c>
      <c r="G33" s="0" t="n">
        <f aca="false">F33+2-5^F33</f>
        <v>0</v>
      </c>
      <c r="H33" s="0" t="str">
        <f aca="false">IF(ABS(F33-F32)&lt;10^-7, "стоп","продолжай")</f>
        <v>стоп</v>
      </c>
    </row>
    <row r="35" customFormat="false" ht="14.35" hidden="false" customHeight="false" outlineLevel="0" collapsed="false">
      <c r="A35" s="0" t="s">
        <v>31</v>
      </c>
    </row>
    <row r="36" customFormat="false" ht="14.35" hidden="false" customHeight="false" outlineLevel="0" collapsed="false">
      <c r="A36" s="0" t="s">
        <v>0</v>
      </c>
      <c r="B36" s="0" t="n">
        <v>0</v>
      </c>
      <c r="C36" s="0" t="n">
        <f aca="false">B36^4+3*B36^2-6*B36+1</f>
        <v>1</v>
      </c>
      <c r="E36" s="0" t="s">
        <v>0</v>
      </c>
      <c r="F36" s="0" t="n">
        <v>1</v>
      </c>
      <c r="G36" s="0" t="n">
        <f aca="false">F36^4+3*F36^2-6*F36+1</f>
        <v>-1</v>
      </c>
    </row>
    <row r="37" customFormat="false" ht="14.35" hidden="false" customHeight="false" outlineLevel="0" collapsed="false">
      <c r="A37" s="0" t="s">
        <v>1</v>
      </c>
      <c r="B37" s="0" t="n">
        <v>0.25</v>
      </c>
      <c r="C37" s="0" t="n">
        <f aca="false">B37^4+3*B37^2-6*B37+1</f>
        <v>-0.30859375</v>
      </c>
      <c r="E37" s="0" t="s">
        <v>1</v>
      </c>
      <c r="F37" s="0" t="n">
        <v>1.25</v>
      </c>
      <c r="G37" s="0" t="n">
        <f aca="false">F37^4+3*F37^2-6*F37+1</f>
        <v>0.62890625</v>
      </c>
    </row>
    <row r="38" customFormat="false" ht="14.35" hidden="false" customHeight="false" outlineLevel="0" collapsed="false">
      <c r="A38" s="0" t="s">
        <v>2</v>
      </c>
      <c r="B38" s="0" t="n">
        <f aca="false">B37-C37*(B37-B36)/(C37-C36)</f>
        <v>0.191044776119403</v>
      </c>
      <c r="C38" s="0" t="n">
        <f aca="false">B38^4+3*B38^2-6*B38+1</f>
        <v>-0.0354422254920708</v>
      </c>
      <c r="D38" s="0" t="str">
        <f aca="false">IF(ABS(B38-B37)&lt;10^-7, "стоп","продолжай")</f>
        <v>продолжай</v>
      </c>
      <c r="E38" s="0" t="s">
        <v>2</v>
      </c>
      <c r="F38" s="0" t="n">
        <f aca="false">F37-G37*(F37-F36)/(G37-G36)</f>
        <v>1.15347721822542</v>
      </c>
      <c r="G38" s="0" t="n">
        <f aca="false">F38^4+3*F38^2-6*F38+1</f>
        <v>-0.159078187383404</v>
      </c>
      <c r="H38" s="0" t="str">
        <f aca="false">IF(ABS(F38-F37)&lt;10^-7, "стоп","продолжай")</f>
        <v>продолжай</v>
      </c>
    </row>
    <row r="39" customFormat="false" ht="14.35" hidden="false" customHeight="false" outlineLevel="0" collapsed="false">
      <c r="A39" s="0" t="s">
        <v>3</v>
      </c>
      <c r="B39" s="0" t="n">
        <f aca="false">B38-C38*(B38-B37)/(C38-C37)</f>
        <v>0.183395159876273</v>
      </c>
      <c r="C39" s="0" t="n">
        <f aca="false">B39^4+3*B39^2-6*B39+1</f>
        <v>0.00166162621145605</v>
      </c>
      <c r="D39" s="0" t="str">
        <f aca="false">IF(ABS(B39-B38)&lt;10^-7, "стоп","продолжай")</f>
        <v>продолжай</v>
      </c>
      <c r="E39" s="0" t="s">
        <v>3</v>
      </c>
      <c r="F39" s="0" t="n">
        <f aca="false">F38-G38*(F38-F37)/(G38-G37)</f>
        <v>1.17296322383346</v>
      </c>
      <c r="G39" s="0" t="n">
        <f aca="false">F39^4+3*F39^2-6*F39+1</f>
        <v>-0.0173079671379544</v>
      </c>
      <c r="H39" s="0" t="str">
        <f aca="false">IF(ABS(F39-F38)&lt;10^-7, "стоп","продолжай")</f>
        <v>продолжай</v>
      </c>
    </row>
    <row r="40" customFormat="false" ht="14.35" hidden="false" customHeight="false" outlineLevel="0" collapsed="false">
      <c r="A40" s="0" t="s">
        <v>4</v>
      </c>
      <c r="B40" s="0" t="n">
        <f aca="false">B39-C39*(B39-B38)/(C39-C38)</f>
        <v>0.183737733551877</v>
      </c>
      <c r="C40" s="0" t="n">
        <f aca="false">B40^4+3*B40^2-6*B40+1</f>
        <v>-8.0295833015942E-006</v>
      </c>
      <c r="D40" s="0" t="str">
        <f aca="false">IF(ABS(B40-B39)&lt;10^-7, "стоп","продолжай")</f>
        <v>продолжай</v>
      </c>
      <c r="E40" s="0" t="s">
        <v>4</v>
      </c>
      <c r="F40" s="0" t="n">
        <f aca="false">F39-G39*(F39-F38)/(G39-G38)</f>
        <v>1.17534216592814</v>
      </c>
      <c r="G40" s="0" t="n">
        <f aca="false">F40^4+3*F40^2-6*F40+1</f>
        <v>0.000581279433694348</v>
      </c>
      <c r="H40" s="0" t="str">
        <f aca="false">IF(ABS(F40-F39)&lt;10^-7, "стоп","продолжай")</f>
        <v>продолжай</v>
      </c>
    </row>
    <row r="41" customFormat="false" ht="14.35" hidden="false" customHeight="false" outlineLevel="0" collapsed="false">
      <c r="A41" s="0" t="s">
        <v>6</v>
      </c>
      <c r="B41" s="0" t="n">
        <f aca="false">B40-C40*(B40-B39)/(C40-C39)</f>
        <v>0.183736086072275</v>
      </c>
      <c r="C41" s="0" t="n">
        <f aca="false">B41^4+3*B41^2-6*B41+1</f>
        <v>-1.79863501870159E-009</v>
      </c>
      <c r="D41" s="0" t="str">
        <f aca="false">IF(ABS(B41-B40)&lt;10^-7, "стоп","продолжай")</f>
        <v>продолжай</v>
      </c>
      <c r="E41" s="0" t="s">
        <v>6</v>
      </c>
      <c r="F41" s="0" t="n">
        <f aca="false">F40-G40*(F40-F39)/(G40-G39)</f>
        <v>1.17526486641147</v>
      </c>
      <c r="G41" s="0" t="n">
        <f aca="false">F41^4+3*F41^2-6*F41+1</f>
        <v>-2.00636308100854E-006</v>
      </c>
      <c r="H41" s="0" t="str">
        <f aca="false">IF(ABS(F41-F40)&lt;10^-7, "стоп","продолжай")</f>
        <v>продолжай</v>
      </c>
    </row>
    <row r="42" customFormat="false" ht="14.35" hidden="false" customHeight="false" outlineLevel="0" collapsed="false">
      <c r="A42" s="0" t="s">
        <v>7</v>
      </c>
      <c r="B42" s="0" t="n">
        <f aca="false">B41-C41*(B41-B40)/(C41-C40)</f>
        <v>0.183736085703155</v>
      </c>
      <c r="C42" s="0" t="n">
        <f aca="false">B42^4+3*B42^2-6*B42+1</f>
        <v>0</v>
      </c>
      <c r="D42" s="0" t="str">
        <f aca="false">IF(ABS(B42-B41)&lt;10^-7, "стоп","продолжай")</f>
        <v>стоп</v>
      </c>
      <c r="E42" s="0" t="s">
        <v>7</v>
      </c>
      <c r="F42" s="0" t="n">
        <f aca="false">F41-G41*(F41-F40)/(G41-G40)</f>
        <v>1.17526513230325</v>
      </c>
      <c r="G42" s="0" t="n">
        <f aca="false">F42^4+3*F42^2-6*F42+1</f>
        <v>-2.31205277145818E-010</v>
      </c>
      <c r="H42" s="0" t="str">
        <f aca="false">IF(ABS(F42-F41)&lt;10^-7, "стоп","продолжай")</f>
        <v>продолжай</v>
      </c>
    </row>
    <row r="43" customFormat="false" ht="14.35" hidden="false" customHeight="false" outlineLevel="0" collapsed="false">
      <c r="E43" s="0" t="s">
        <v>9</v>
      </c>
      <c r="F43" s="0" t="n">
        <f aca="false">F42-G42*(F42-F41)/(G42-G41)</f>
        <v>1.17526513233389</v>
      </c>
      <c r="G43" s="0" t="n">
        <f aca="false">F43^4+3*F43^2-6*F43+1</f>
        <v>0</v>
      </c>
      <c r="H43" s="0" t="str">
        <f aca="false">IF(ABS(F43-F42)&lt;10^-7, "стоп","продолжай")</f>
        <v>стоп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Serif,Обычный"&amp;12&amp;A</oddHeader>
    <oddFooter>&amp;C&amp;"DejaVu Serif,Обычный"&amp;12Страница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2026-02-03T08:27:09Z</dcterms:created>
  <dc:creator/>
  <dc:description/>
  <dc:language>ru-RU</dc:language>
  <cp:lastModifiedBy/>
  <dcterms:modified xsi:type="dcterms:W3CDTF">2026-02-03T10:58:46Z</dcterms:modified>
  <cp:revision>1</cp:revision>
  <dc:subject/>
  <dc:title/>
</cp:coreProperties>
</file>