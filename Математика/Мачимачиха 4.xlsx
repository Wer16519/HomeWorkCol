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stuk\OneDrive\Desktop\"/>
    </mc:Choice>
  </mc:AlternateContent>
  <xr:revisionPtr revIDLastSave="0" documentId="13_ncr:1_{325B1142-B00E-4196-B7E9-17A6D3598B36}" xr6:coauthVersionLast="47" xr6:coauthVersionMax="47" xr10:uidLastSave="{00000000-0000-0000-0000-000000000000}"/>
  <bookViews>
    <workbookView xWindow="4350" yWindow="4365" windowWidth="21600" windowHeight="11835" activeTab="1" xr2:uid="{00000000-000D-0000-FFFF-FFFF00000000}"/>
  </bookViews>
  <sheets>
    <sheet name="Пеример1И2" sheetId="1" r:id="rId1"/>
    <sheet name="ПЗ4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2" i="3"/>
  <c r="E13" i="3"/>
  <c r="E14" i="3"/>
  <c r="E15" i="3"/>
  <c r="E5" i="3"/>
  <c r="D6" i="3"/>
  <c r="D7" i="3"/>
  <c r="D8" i="3"/>
  <c r="D9" i="3"/>
  <c r="D10" i="3"/>
  <c r="D11" i="3"/>
  <c r="D12" i="3"/>
  <c r="D13" i="3"/>
  <c r="D14" i="3"/>
  <c r="D15" i="3"/>
  <c r="D5" i="3"/>
  <c r="E20" i="3"/>
  <c r="E21" i="3"/>
  <c r="E22" i="3"/>
  <c r="E23" i="3"/>
  <c r="E24" i="3"/>
  <c r="E18" i="3"/>
  <c r="E19" i="3"/>
  <c r="D19" i="3"/>
  <c r="D20" i="3"/>
  <c r="D21" i="3"/>
  <c r="D22" i="3"/>
  <c r="D23" i="3"/>
  <c r="D24" i="3"/>
  <c r="D18" i="3"/>
  <c r="C19" i="3"/>
  <c r="C20" i="3"/>
  <c r="C21" i="3"/>
  <c r="C22" i="3"/>
  <c r="C23" i="3"/>
  <c r="C24" i="3"/>
  <c r="C18" i="3"/>
  <c r="B20" i="3"/>
  <c r="B21" i="3" s="1"/>
  <c r="B22" i="3" s="1"/>
  <c r="B23" i="3" s="1"/>
  <c r="B24" i="3" s="1"/>
  <c r="B19" i="3"/>
  <c r="C5" i="3"/>
  <c r="B6" i="3"/>
  <c r="C6" i="3" s="1"/>
  <c r="C1" i="3"/>
  <c r="F3" i="1"/>
  <c r="F4" i="1"/>
  <c r="F5" i="1"/>
  <c r="F6" i="1"/>
  <c r="F7" i="1"/>
  <c r="F2" i="1"/>
  <c r="E3" i="1"/>
  <c r="E4" i="1"/>
  <c r="E5" i="1" s="1"/>
  <c r="E6" i="1" s="1"/>
  <c r="E7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3" i="1"/>
  <c r="B7" i="3" l="1"/>
  <c r="C7" i="3" l="1"/>
  <c r="B8" i="3"/>
  <c r="C8" i="3" l="1"/>
  <c r="B9" i="3"/>
  <c r="B10" i="3" l="1"/>
  <c r="C9" i="3"/>
  <c r="B11" i="3" l="1"/>
  <c r="C10" i="3"/>
  <c r="B12" i="3" l="1"/>
  <c r="C11" i="3"/>
  <c r="B13" i="3" l="1"/>
  <c r="C12" i="3"/>
  <c r="B14" i="3" l="1"/>
  <c r="C13" i="3"/>
  <c r="B15" i="3" l="1"/>
  <c r="C14" i="3"/>
  <c r="C15" i="3" l="1"/>
</calcChain>
</file>

<file path=xl/sharedStrings.xml><?xml version="1.0" encoding="utf-8"?>
<sst xmlns="http://schemas.openxmlformats.org/spreadsheetml/2006/main" count="52" uniqueCount="39">
  <si>
    <t>x0</t>
  </si>
  <si>
    <t xml:space="preserve">x1 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</si>
  <si>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</si>
  <si>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</si>
  <si>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</si>
  <si>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</si>
  <si>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</si>
  <si>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</si>
  <si>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</si>
  <si>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</si>
  <si>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</si>
  <si>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</si>
  <si>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</si>
  <si>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</si>
  <si>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</si>
  <si>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</si>
  <si>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</si>
  <si>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Погрешность</t>
  </si>
  <si>
    <t xml:space="preserve"> </t>
  </si>
  <si>
    <t>x1</t>
  </si>
  <si>
    <t>A) нет решение</t>
  </si>
  <si>
    <t>x = 0,875</t>
  </si>
  <si>
    <t>производная</t>
  </si>
  <si>
    <t>б)</t>
  </si>
  <si>
    <t>1x0</t>
  </si>
  <si>
    <t>1x1</t>
  </si>
  <si>
    <t>1x2</t>
  </si>
  <si>
    <t>1x3</t>
  </si>
  <si>
    <t>1x4</t>
  </si>
  <si>
    <t>1x5</t>
  </si>
  <si>
    <t>1x6</t>
  </si>
  <si>
    <t>1x7</t>
  </si>
  <si>
    <t>1x8</t>
  </si>
  <si>
    <t>1x9</t>
  </si>
  <si>
    <t>1x10</t>
  </si>
  <si>
    <t>2x0</t>
  </si>
  <si>
    <t xml:space="preserve"> не прошол проверку</t>
  </si>
  <si>
    <t>в)</t>
  </si>
  <si>
    <t>не прошло проверку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</si>
</sst>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C17" sqref="C17"/>
    </sheetView>
  </sheetViews>
  <sheetFormatPr defaultRowHeight="15" x14ac:dyDescent="0.25"/>
  <cols>
    <col min="2" max="2" width="20.140625" customWidth="1"/>
    <col min="3" max="3" width="32.85546875" customWidth="1"/>
  </cols>
  <sheetData>
    <row r="1" spans="1:6" x14ac:dyDescent="0.25">
      <c r="C1" t="s">
        <v>17</v>
      </c>
    </row>
    <row r="2" spans="1:6" x14ac:dyDescent="0.25">
      <c r="A2" t="s">
        <v>0</v>
      </c>
      <c r="B2">
        <v>0.2</v>
      </c>
      <c r="C2">
        <f>(1/(5*(B2+1)^2))-B2</f>
        <v>-6.1111111111111116E-2</v>
      </c>
      <c r="D2" t="s">
        <v>0</v>
      </c>
      <c r="E2">
        <v>0.1</v>
      </c>
      <c r="F2">
        <f>(1/12)*(2-(E2)^3)-E2</f>
        <v>6.6583333333333328E-2</v>
      </c>
    </row>
    <row r="3" spans="1:6" x14ac:dyDescent="0.25">
      <c r="A3" t="s">
        <v>1</v>
      </c>
      <c r="B3">
        <f>1/(5*(B2+1)^2)</f>
        <v>0.1388888888888889</v>
      </c>
      <c r="C3">
        <f t="shared" ref="C3:C18" si="0">(1/(5*(B3+1)^2))-B3</f>
        <v>1.530504329433538E-2</v>
      </c>
      <c r="D3" t="s">
        <v>19</v>
      </c>
      <c r="E3">
        <f>(1/12)*(2-(E2)^3)</f>
        <v>0.16658333333333333</v>
      </c>
      <c r="F3">
        <f t="shared" ref="F3:F7" si="1">(1/12)*(2-(E3)^3)-E3</f>
        <v>-3.0189072140240913E-4</v>
      </c>
    </row>
    <row r="4" spans="1:6" x14ac:dyDescent="0.25">
      <c r="A4" t="s">
        <v>2</v>
      </c>
      <c r="B4">
        <f t="shared" ref="B4:B18" si="2">1/(5*(B3+1)^2)</f>
        <v>0.15419393218322427</v>
      </c>
      <c r="C4">
        <f t="shared" si="0"/>
        <v>-4.0622253625634819E-3</v>
      </c>
      <c r="D4" t="s">
        <v>2</v>
      </c>
      <c r="E4">
        <f t="shared" ref="E4:E7" si="3">(1/12)*(2-(E3)^3)</f>
        <v>0.16628144261193092</v>
      </c>
      <c r="F4">
        <f t="shared" si="1"/>
        <v>2.0905741783816545E-6</v>
      </c>
    </row>
    <row r="5" spans="1:6" x14ac:dyDescent="0.25">
      <c r="A5" t="s">
        <v>3</v>
      </c>
      <c r="B5">
        <f t="shared" si="2"/>
        <v>0.15013170682066079</v>
      </c>
      <c r="C5">
        <f t="shared" si="0"/>
        <v>1.0623928395999682E-3</v>
      </c>
      <c r="D5" t="s">
        <v>3</v>
      </c>
      <c r="E5">
        <f t="shared" si="3"/>
        <v>0.16628353318610931</v>
      </c>
      <c r="F5">
        <f t="shared" si="1"/>
        <v>-1.4451023849781919E-8</v>
      </c>
    </row>
    <row r="6" spans="1:6" x14ac:dyDescent="0.25">
      <c r="A6" t="s">
        <v>4</v>
      </c>
      <c r="B6">
        <f t="shared" si="2"/>
        <v>0.15119409966026076</v>
      </c>
      <c r="C6">
        <f t="shared" si="0"/>
        <v>-2.7893369228754183E-4</v>
      </c>
      <c r="D6" s="1" t="s">
        <v>4</v>
      </c>
      <c r="E6" s="1">
        <f t="shared" si="3"/>
        <v>0.16628351873508546</v>
      </c>
      <c r="F6" s="1">
        <f t="shared" si="1"/>
        <v>9.9893454619248701E-11</v>
      </c>
    </row>
    <row r="7" spans="1:6" x14ac:dyDescent="0.25">
      <c r="A7" t="s">
        <v>5</v>
      </c>
      <c r="B7">
        <f t="shared" si="2"/>
        <v>0.15091516596797322</v>
      </c>
      <c r="C7">
        <f t="shared" si="0"/>
        <v>7.3159910970649333E-5</v>
      </c>
      <c r="D7" s="1" t="s">
        <v>5</v>
      </c>
      <c r="E7" s="1">
        <f t="shared" si="3"/>
        <v>0.16628351883497891</v>
      </c>
      <c r="F7" s="1">
        <f t="shared" si="1"/>
        <v>-6.9053096574123174E-13</v>
      </c>
    </row>
    <row r="8" spans="1:6" x14ac:dyDescent="0.25">
      <c r="A8" t="s">
        <v>6</v>
      </c>
      <c r="B8">
        <f t="shared" si="2"/>
        <v>0.15098832587894387</v>
      </c>
      <c r="C8">
        <f t="shared" si="0"/>
        <v>-1.9193837443060024E-5</v>
      </c>
    </row>
    <row r="9" spans="1:6" x14ac:dyDescent="0.25">
      <c r="A9" t="s">
        <v>7</v>
      </c>
      <c r="B9">
        <f t="shared" si="2"/>
        <v>0.15096913204150081</v>
      </c>
      <c r="C9">
        <f t="shared" si="0"/>
        <v>5.0352369318218404E-6</v>
      </c>
    </row>
    <row r="10" spans="1:6" x14ac:dyDescent="0.25">
      <c r="A10" t="s">
        <v>8</v>
      </c>
      <c r="B10">
        <f t="shared" si="2"/>
        <v>0.15097416727843263</v>
      </c>
      <c r="C10">
        <f t="shared" si="0"/>
        <v>-1.3209489172494315E-6</v>
      </c>
    </row>
    <row r="11" spans="1:6" x14ac:dyDescent="0.25">
      <c r="A11" t="s">
        <v>9</v>
      </c>
      <c r="B11">
        <f t="shared" si="2"/>
        <v>0.15097284632951538</v>
      </c>
      <c r="C11">
        <f t="shared" si="0"/>
        <v>3.4653733660405805E-7</v>
      </c>
    </row>
    <row r="12" spans="1:6" x14ac:dyDescent="0.25">
      <c r="A12" t="s">
        <v>10</v>
      </c>
      <c r="B12">
        <f t="shared" si="2"/>
        <v>0.15097319286685199</v>
      </c>
      <c r="C12">
        <f t="shared" si="0"/>
        <v>-9.0910614786166022E-8</v>
      </c>
    </row>
    <row r="13" spans="1:6" x14ac:dyDescent="0.25">
      <c r="A13" t="s">
        <v>11</v>
      </c>
      <c r="B13">
        <f t="shared" si="2"/>
        <v>0.1509731019562372</v>
      </c>
      <c r="C13">
        <f t="shared" si="0"/>
        <v>2.3849485331073339E-8</v>
      </c>
    </row>
    <row r="14" spans="1:6" x14ac:dyDescent="0.25">
      <c r="A14" t="s">
        <v>12</v>
      </c>
      <c r="B14">
        <f t="shared" si="2"/>
        <v>0.15097312580572253</v>
      </c>
      <c r="C14">
        <f t="shared" si="0"/>
        <v>-6.256673096283194E-9</v>
      </c>
    </row>
    <row r="15" spans="1:6" x14ac:dyDescent="0.25">
      <c r="A15" t="s">
        <v>13</v>
      </c>
      <c r="B15">
        <f t="shared" si="2"/>
        <v>0.15097311954904943</v>
      </c>
      <c r="C15">
        <f t="shared" si="0"/>
        <v>1.6413753967103872E-9</v>
      </c>
    </row>
    <row r="16" spans="1:6" x14ac:dyDescent="0.25">
      <c r="A16" t="s">
        <v>14</v>
      </c>
      <c r="B16">
        <f t="shared" si="2"/>
        <v>0.15097312119042483</v>
      </c>
      <c r="C16">
        <f t="shared" si="0"/>
        <v>-4.3059839027748126E-10</v>
      </c>
    </row>
    <row r="17" spans="1:3" x14ac:dyDescent="0.25">
      <c r="A17" s="1" t="s">
        <v>15</v>
      </c>
      <c r="B17" s="1">
        <f t="shared" si="2"/>
        <v>0.15097312075982644</v>
      </c>
      <c r="C17" s="1">
        <f t="shared" si="0"/>
        <v>1.1296319435416535E-10</v>
      </c>
    </row>
    <row r="18" spans="1:3" x14ac:dyDescent="0.25">
      <c r="A18" s="1" t="s">
        <v>16</v>
      </c>
      <c r="B18" s="1">
        <f t="shared" si="2"/>
        <v>0.15097312087278963</v>
      </c>
      <c r="C18" s="1">
        <f t="shared" si="0"/>
        <v>-2.9634794618260685E-11</v>
      </c>
    </row>
    <row r="25" spans="1:3" x14ac:dyDescent="0.25">
      <c r="C25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5FDD-13CC-49F3-BC33-83CB5134EAF9}">
  <dimension ref="A1:I24"/>
  <sheetViews>
    <sheetView tabSelected="1" workbookViewId="0">
      <selection activeCell="G3" sqref="G3"/>
    </sheetView>
  </sheetViews>
  <sheetFormatPr defaultRowHeight="15" x14ac:dyDescent="0.25"/>
  <cols>
    <col min="2" max="2" width="33.7109375" customWidth="1"/>
    <col min="3" max="3" width="27" customWidth="1"/>
    <col min="4" max="4" width="12" bestFit="1" customWidth="1"/>
  </cols>
  <sheetData>
    <row r="1" spans="1:9" x14ac:dyDescent="0.25">
      <c r="A1" t="s">
        <v>20</v>
      </c>
      <c r="C1">
        <f>10*0.875^2</f>
        <v>7.65625</v>
      </c>
      <c r="D1" t="s">
        <v>22</v>
      </c>
      <c r="E1" t="s">
        <v>38</v>
      </c>
    </row>
    <row r="2" spans="1:9" x14ac:dyDescent="0.25">
      <c r="C2" t="s">
        <v>21</v>
      </c>
    </row>
    <row r="3" spans="1:9" x14ac:dyDescent="0.25">
      <c r="A3" t="s">
        <v>23</v>
      </c>
    </row>
    <row r="4" spans="1:9" x14ac:dyDescent="0.25">
      <c r="C4" t="s">
        <v>17</v>
      </c>
    </row>
    <row r="5" spans="1:9" x14ac:dyDescent="0.25">
      <c r="A5" t="s">
        <v>24</v>
      </c>
      <c r="B5">
        <v>-0.625</v>
      </c>
      <c r="C5">
        <f>(((2.71828^B5)/3)-0.8)-B5</f>
        <v>3.4205511823988122E-3</v>
      </c>
      <c r="D5">
        <f>(1-0.17842)*0.0000001/0.17842</f>
        <v>4.6047528304001796E-7</v>
      </c>
      <c r="E5" t="str">
        <f>IF(C5&lt;D5,"конец","продолжай")</f>
        <v>продолжай</v>
      </c>
      <c r="G5" t="s">
        <v>35</v>
      </c>
      <c r="H5">
        <v>2.125</v>
      </c>
      <c r="I5" t="s">
        <v>36</v>
      </c>
    </row>
    <row r="6" spans="1:9" x14ac:dyDescent="0.25">
      <c r="A6" t="s">
        <v>25</v>
      </c>
      <c r="B6">
        <f>((2.71828^B5)/3)-0.8</f>
        <v>-0.62157944881760119</v>
      </c>
      <c r="C6">
        <f t="shared" ref="C6:C15" si="0">(((2.71828^B6)/3)-0.8)-B6</f>
        <v>6.1134118192618381E-4</v>
      </c>
      <c r="D6">
        <f t="shared" ref="D6:D15" si="1">(1-0.17842)*0.0000001/0.17842</f>
        <v>4.6047528304001796E-7</v>
      </c>
      <c r="E6" t="str">
        <f t="shared" ref="E6:E15" si="2">IF(C6&lt;D6,"конец","продолжай")</f>
        <v>продолжай</v>
      </c>
    </row>
    <row r="7" spans="1:9" x14ac:dyDescent="0.25">
      <c r="A7" t="s">
        <v>26</v>
      </c>
      <c r="B7">
        <f t="shared" ref="B7:B15" si="3">((2.71828^B6)/3)-0.8</f>
        <v>-0.620968107635675</v>
      </c>
      <c r="C7">
        <f t="shared" si="0"/>
        <v>1.0948295734691804E-4</v>
      </c>
      <c r="D7">
        <f t="shared" si="1"/>
        <v>4.6047528304001796E-7</v>
      </c>
      <c r="E7" t="str">
        <f t="shared" si="2"/>
        <v>продолжай</v>
      </c>
    </row>
    <row r="8" spans="1:9" x14ac:dyDescent="0.25">
      <c r="A8" t="s">
        <v>27</v>
      </c>
      <c r="B8">
        <f t="shared" si="3"/>
        <v>-0.62085862467832809</v>
      </c>
      <c r="C8">
        <f t="shared" si="0"/>
        <v>1.9613988039068886E-5</v>
      </c>
      <c r="D8">
        <f t="shared" si="1"/>
        <v>4.6047528304001796E-7</v>
      </c>
      <c r="E8" t="str">
        <f t="shared" si="2"/>
        <v>продолжай</v>
      </c>
    </row>
    <row r="9" spans="1:9" x14ac:dyDescent="0.25">
      <c r="A9" t="s">
        <v>28</v>
      </c>
      <c r="B9">
        <f t="shared" si="3"/>
        <v>-0.62083901069028902</v>
      </c>
      <c r="C9">
        <f t="shared" si="0"/>
        <v>3.5140936002209244E-6</v>
      </c>
      <c r="D9">
        <f t="shared" si="1"/>
        <v>4.6047528304001796E-7</v>
      </c>
      <c r="E9" t="str">
        <f t="shared" si="2"/>
        <v>продолжай</v>
      </c>
    </row>
    <row r="10" spans="1:9" x14ac:dyDescent="0.25">
      <c r="A10" t="s">
        <v>29</v>
      </c>
      <c r="B10">
        <f t="shared" si="3"/>
        <v>-0.6208354965966888</v>
      </c>
      <c r="C10">
        <f t="shared" si="0"/>
        <v>6.2960151758773009E-7</v>
      </c>
      <c r="D10">
        <f t="shared" si="1"/>
        <v>4.6047528304001796E-7</v>
      </c>
      <c r="E10" t="str">
        <f t="shared" si="2"/>
        <v>продолжай</v>
      </c>
    </row>
    <row r="11" spans="1:9" x14ac:dyDescent="0.25">
      <c r="A11" t="s">
        <v>30</v>
      </c>
      <c r="B11" s="1">
        <f t="shared" si="3"/>
        <v>-0.62083486699517121</v>
      </c>
      <c r="C11" s="1">
        <f t="shared" si="0"/>
        <v>1.1280259926138569E-7</v>
      </c>
      <c r="D11" s="1">
        <f t="shared" si="1"/>
        <v>4.6047528304001796E-7</v>
      </c>
      <c r="E11" s="1" t="str">
        <f t="shared" si="2"/>
        <v>конец</v>
      </c>
    </row>
    <row r="12" spans="1:9" x14ac:dyDescent="0.25">
      <c r="A12" t="s">
        <v>31</v>
      </c>
      <c r="B12" s="1">
        <f t="shared" si="3"/>
        <v>-0.62083475419257195</v>
      </c>
      <c r="C12" s="1">
        <f t="shared" si="0"/>
        <v>2.0210292883682257E-8</v>
      </c>
      <c r="D12" s="1">
        <f t="shared" si="1"/>
        <v>4.6047528304001796E-7</v>
      </c>
      <c r="E12" s="1" t="str">
        <f t="shared" si="2"/>
        <v>конец</v>
      </c>
    </row>
    <row r="13" spans="1:9" x14ac:dyDescent="0.25">
      <c r="A13" t="s">
        <v>32</v>
      </c>
      <c r="B13">
        <f t="shared" si="3"/>
        <v>-0.62083473398227906</v>
      </c>
      <c r="C13">
        <f t="shared" si="0"/>
        <v>3.6209801823616772E-9</v>
      </c>
      <c r="D13">
        <f t="shared" si="1"/>
        <v>4.6047528304001796E-7</v>
      </c>
      <c r="E13" t="str">
        <f t="shared" si="2"/>
        <v>конец</v>
      </c>
    </row>
    <row r="14" spans="1:9" x14ac:dyDescent="0.25">
      <c r="A14" t="s">
        <v>33</v>
      </c>
      <c r="B14">
        <f t="shared" si="3"/>
        <v>-0.62083473036129888</v>
      </c>
      <c r="C14">
        <f t="shared" si="0"/>
        <v>6.4875338434688956E-10</v>
      </c>
      <c r="D14">
        <f t="shared" si="1"/>
        <v>4.6047528304001796E-7</v>
      </c>
      <c r="E14" t="str">
        <f t="shared" si="2"/>
        <v>конец</v>
      </c>
    </row>
    <row r="15" spans="1:9" x14ac:dyDescent="0.25">
      <c r="A15" t="s">
        <v>34</v>
      </c>
      <c r="B15">
        <f t="shared" si="3"/>
        <v>-0.6208347297125455</v>
      </c>
      <c r="C15">
        <f t="shared" si="0"/>
        <v>1.1623402240701353E-10</v>
      </c>
      <c r="D15">
        <f t="shared" si="1"/>
        <v>4.6047528304001796E-7</v>
      </c>
      <c r="E15" t="str">
        <f t="shared" si="2"/>
        <v>конец</v>
      </c>
    </row>
    <row r="17" spans="1:5" x14ac:dyDescent="0.25">
      <c r="A17" t="s">
        <v>37</v>
      </c>
    </row>
    <row r="18" spans="1:5" x14ac:dyDescent="0.25">
      <c r="A18" t="s">
        <v>0</v>
      </c>
      <c r="B18">
        <v>8.44</v>
      </c>
      <c r="C18">
        <f>(10-ATAN(B18))-B18</f>
        <v>0.10713727323515521</v>
      </c>
      <c r="D18">
        <f>(1-0.01384)*0.0000001/0.01384</f>
        <v>7.1254335260115606E-6</v>
      </c>
      <c r="E18" t="str">
        <f>IF(C18&lt;D18,"конец","продолжай")</f>
        <v>продолжай</v>
      </c>
    </row>
    <row r="19" spans="1:5" x14ac:dyDescent="0.25">
      <c r="A19" t="s">
        <v>19</v>
      </c>
      <c r="B19">
        <f>10-ATAN(B18)</f>
        <v>8.5471372732351547</v>
      </c>
      <c r="C19">
        <f t="shared" ref="C19:C24" si="4">(10-ATAN(B19))-B19</f>
        <v>-1.464866868822412E-3</v>
      </c>
      <c r="D19">
        <f t="shared" ref="D19:D24" si="5">(1-0.01384)*0.0000001/0.01384</f>
        <v>7.1254335260115606E-6</v>
      </c>
      <c r="E19" t="str">
        <f>IF(C19&lt;D19,"конец","продолжай")</f>
        <v>конец</v>
      </c>
    </row>
    <row r="20" spans="1:5" x14ac:dyDescent="0.25">
      <c r="A20" t="s">
        <v>2</v>
      </c>
      <c r="B20">
        <f t="shared" ref="B20:B24" si="6">10-ATAN(B19)</f>
        <v>8.5456724063663323</v>
      </c>
      <c r="C20">
        <f t="shared" si="4"/>
        <v>1.9784527129473872E-5</v>
      </c>
      <c r="D20">
        <f t="shared" si="5"/>
        <v>7.1254335260115606E-6</v>
      </c>
      <c r="E20" t="str">
        <f t="shared" ref="E20:E24" si="7">IF(C20&lt;D20,"конец","продолжай")</f>
        <v>продолжай</v>
      </c>
    </row>
    <row r="21" spans="1:5" x14ac:dyDescent="0.25">
      <c r="A21" t="s">
        <v>3</v>
      </c>
      <c r="B21">
        <f t="shared" si="6"/>
        <v>8.5456921908934618</v>
      </c>
      <c r="C21">
        <f t="shared" si="4"/>
        <v>-2.6725487423107097E-7</v>
      </c>
      <c r="D21">
        <f t="shared" si="5"/>
        <v>7.1254335260115606E-6</v>
      </c>
      <c r="E21" t="str">
        <f t="shared" si="7"/>
        <v>конец</v>
      </c>
    </row>
    <row r="22" spans="1:5" x14ac:dyDescent="0.25">
      <c r="A22" t="s">
        <v>4</v>
      </c>
      <c r="B22" s="1">
        <f t="shared" si="6"/>
        <v>8.5456919236385875</v>
      </c>
      <c r="C22" s="1">
        <f t="shared" si="4"/>
        <v>3.6101450717751504E-9</v>
      </c>
      <c r="D22" s="1">
        <f t="shared" si="5"/>
        <v>7.1254335260115606E-6</v>
      </c>
      <c r="E22" s="1" t="str">
        <f t="shared" si="7"/>
        <v>конец</v>
      </c>
    </row>
    <row r="23" spans="1:5" x14ac:dyDescent="0.25">
      <c r="A23" t="s">
        <v>5</v>
      </c>
      <c r="B23" s="1">
        <f t="shared" si="6"/>
        <v>8.5456919272487326</v>
      </c>
      <c r="C23" s="1">
        <f t="shared" si="4"/>
        <v>-4.8768100668894476E-11</v>
      </c>
      <c r="D23" s="1">
        <f t="shared" si="5"/>
        <v>7.1254335260115606E-6</v>
      </c>
      <c r="E23" s="1" t="str">
        <f t="shared" si="7"/>
        <v>конец</v>
      </c>
    </row>
    <row r="24" spans="1:5" x14ac:dyDescent="0.25">
      <c r="A24" t="s">
        <v>6</v>
      </c>
      <c r="B24">
        <f t="shared" si="6"/>
        <v>8.5456919271999645</v>
      </c>
      <c r="C24">
        <f t="shared" si="4"/>
        <v>6.5902838741749292E-13</v>
      </c>
      <c r="D24">
        <f t="shared" si="5"/>
        <v>7.1254335260115606E-6</v>
      </c>
      <c r="E24" t="str">
        <f t="shared" si="7"/>
        <v>конец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Пеример1И2</vt:lpstr>
      <vt:lpstr>ПЗ4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Стукопин</dc:creator>
  <cp:lastModifiedBy>Егор Стукопин</cp:lastModifiedBy>
  <dcterms:created xsi:type="dcterms:W3CDTF">2015-06-05T18:17:20Z</dcterms:created>
  <dcterms:modified xsi:type="dcterms:W3CDTF">2026-02-16T20:01:33Z</dcterms:modified>
</cp:coreProperties>
</file>